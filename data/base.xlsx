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Kin0\Desktop\Лабораторная работа 8 - Исследование колебательных процессов в электрическом контуре\IBTC-physics-2k4s-latex-oscillatory_processes\data\"/>
    </mc:Choice>
  </mc:AlternateContent>
  <xr:revisionPtr revIDLastSave="0" documentId="13_ncr:1_{80B0353A-DAA6-49C0-9CCC-97A238044954}" xr6:coauthVersionLast="47" xr6:coauthVersionMax="47" xr10:uidLastSave="{00000000-0000-0000-0000-000000000000}"/>
  <bookViews>
    <workbookView xWindow="-120" yWindow="-120" windowWidth="29040" windowHeight="15720" activeTab="6" xr2:uid="{CA7807C6-8D35-4FA3-A926-01E9E655F056}"/>
  </bookViews>
  <sheets>
    <sheet name="Лист1" sheetId="1" r:id="rId1"/>
    <sheet name="Лист2" sheetId="2" r:id="rId2"/>
    <sheet name="Лист5" sheetId="5" r:id="rId3"/>
    <sheet name="Лист7" sheetId="7" r:id="rId4"/>
    <sheet name="Лист3" sheetId="8" r:id="rId5"/>
    <sheet name="Общее" sheetId="10" r:id="rId6"/>
    <sheet name="Лист8" sheetId="12" r:id="rId7"/>
    <sheet name="Лист6" sheetId="11" r:id="rId8"/>
    <sheet name="Мусор" sheetId="3" r:id="rId9"/>
    <sheet name="Лист4" sheetId="9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2" l="1"/>
  <c r="D5" i="12"/>
  <c r="D6" i="12"/>
  <c r="D7" i="12"/>
  <c r="D8" i="12"/>
  <c r="D9" i="12"/>
  <c r="D10" i="12"/>
  <c r="D11" i="12"/>
  <c r="D12" i="12"/>
  <c r="D3" i="12"/>
  <c r="C81" i="10"/>
  <c r="C82" i="10" s="1"/>
  <c r="C83" i="10" s="1"/>
  <c r="C84" i="10" s="1"/>
  <c r="C85" i="10" s="1"/>
  <c r="C86" i="10" s="1"/>
  <c r="N8" i="11"/>
  <c r="N9" i="11"/>
  <c r="N7" i="11"/>
  <c r="N5" i="11"/>
  <c r="N6" i="11"/>
  <c r="N4" i="11"/>
  <c r="C73" i="10"/>
  <c r="C74" i="10" s="1"/>
  <c r="C75" i="10" s="1"/>
  <c r="C76" i="10" s="1"/>
  <c r="C77" i="10" s="1"/>
  <c r="C78" i="10" s="1"/>
  <c r="C79" i="10" s="1"/>
  <c r="I5" i="11"/>
  <c r="I6" i="11" s="1"/>
  <c r="I7" i="11" s="1"/>
  <c r="I8" i="11" s="1"/>
  <c r="I9" i="11" s="1"/>
  <c r="I10" i="11" s="1"/>
  <c r="I4" i="11"/>
  <c r="B22" i="11"/>
  <c r="B23" i="11"/>
  <c r="B24" i="11"/>
  <c r="B25" i="11"/>
  <c r="B26" i="11"/>
  <c r="B27" i="11"/>
  <c r="B28" i="11"/>
  <c r="B29" i="11"/>
  <c r="B30" i="11" s="1"/>
  <c r="B31" i="11" s="1"/>
  <c r="B32" i="11" s="1"/>
  <c r="B33" i="11" s="1"/>
  <c r="B34" i="11" s="1"/>
  <c r="B35" i="11" s="1"/>
  <c r="B5" i="11"/>
  <c r="B6" i="11"/>
  <c r="B7" i="11"/>
  <c r="B8" i="11"/>
  <c r="B9" i="11"/>
  <c r="B10" i="11"/>
  <c r="B11" i="11"/>
  <c r="B12" i="11"/>
  <c r="B13" i="11" s="1"/>
  <c r="B14" i="11" s="1"/>
  <c r="B15" i="11" s="1"/>
  <c r="B16" i="11" s="1"/>
  <c r="B17" i="11" s="1"/>
  <c r="B18" i="11" s="1"/>
  <c r="B19" i="11" s="1"/>
  <c r="B20" i="11" s="1"/>
  <c r="B21" i="11" s="1"/>
  <c r="B4" i="11"/>
  <c r="C54" i="10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33" i="10"/>
  <c r="C34" i="10" s="1"/>
  <c r="C35" i="10" s="1"/>
  <c r="C36" i="10" s="1"/>
  <c r="C27" i="10"/>
  <c r="C28" i="10" s="1"/>
  <c r="C29" i="10" s="1"/>
  <c r="C30" i="10" s="1"/>
  <c r="C31" i="10" s="1"/>
  <c r="C5" i="8"/>
  <c r="C6" i="8"/>
  <c r="C7" i="8"/>
  <c r="C8" i="8"/>
  <c r="C9" i="8"/>
  <c r="C10" i="8"/>
  <c r="C11" i="8"/>
  <c r="C12" i="8"/>
  <c r="C13" i="8"/>
  <c r="C14" i="8" s="1"/>
  <c r="C15" i="8" s="1"/>
  <c r="C16" i="8" s="1"/>
  <c r="C17" i="8" s="1"/>
  <c r="C18" i="8" s="1"/>
  <c r="C19" i="8" s="1"/>
  <c r="C20" i="8" s="1"/>
  <c r="C21" i="8" s="1"/>
  <c r="C22" i="8" s="1"/>
  <c r="V46" i="7"/>
  <c r="V47" i="7" s="1"/>
  <c r="V48" i="7" s="1"/>
  <c r="V49" i="7" s="1"/>
  <c r="V40" i="7"/>
  <c r="V41" i="7" s="1"/>
  <c r="V42" i="7" s="1"/>
  <c r="V43" i="7" s="1"/>
  <c r="V44" i="7" s="1"/>
  <c r="T5" i="7"/>
  <c r="T6" i="7" s="1"/>
  <c r="T7" i="7" s="1"/>
  <c r="T8" i="7" s="1"/>
  <c r="O5" i="7"/>
  <c r="O6" i="7" s="1"/>
  <c r="O7" i="7" s="1"/>
  <c r="O8" i="7" s="1"/>
  <c r="O9" i="7" s="1"/>
  <c r="S25" i="5"/>
  <c r="R25" i="5"/>
  <c r="Q25" i="5"/>
  <c r="P25" i="5"/>
  <c r="S24" i="5"/>
  <c r="R24" i="5"/>
  <c r="Q24" i="5"/>
  <c r="P24" i="5"/>
  <c r="S23" i="5"/>
  <c r="R23" i="5"/>
  <c r="Q23" i="5"/>
  <c r="P23" i="5"/>
  <c r="S22" i="5"/>
  <c r="R22" i="5"/>
  <c r="Q22" i="5"/>
  <c r="P22" i="5"/>
  <c r="S21" i="5"/>
  <c r="R21" i="5"/>
  <c r="Q21" i="5"/>
  <c r="P21" i="5"/>
  <c r="S20" i="5"/>
  <c r="R20" i="5"/>
  <c r="Q20" i="5"/>
  <c r="P20" i="5"/>
  <c r="S19" i="5"/>
  <c r="R19" i="5"/>
  <c r="Q19" i="5"/>
  <c r="P19" i="5"/>
  <c r="S18" i="5"/>
  <c r="R18" i="5"/>
  <c r="Q18" i="5"/>
  <c r="P18" i="5"/>
  <c r="S17" i="5"/>
  <c r="R17" i="5"/>
  <c r="Q17" i="5"/>
  <c r="P17" i="5"/>
  <c r="S16" i="5"/>
  <c r="R16" i="5"/>
  <c r="Q16" i="5"/>
  <c r="P16" i="5"/>
  <c r="S15" i="5"/>
  <c r="R15" i="5"/>
  <c r="Q15" i="5"/>
  <c r="P15" i="5"/>
  <c r="S14" i="5"/>
  <c r="R14" i="5"/>
  <c r="Q14" i="5"/>
  <c r="P14" i="5"/>
  <c r="S13" i="5"/>
  <c r="R13" i="5"/>
  <c r="Q13" i="5"/>
  <c r="P13" i="5"/>
  <c r="S12" i="5"/>
  <c r="R12" i="5"/>
  <c r="Q12" i="5"/>
  <c r="P12" i="5"/>
  <c r="S11" i="5"/>
  <c r="R11" i="5"/>
  <c r="Q11" i="5"/>
  <c r="P11" i="5"/>
  <c r="S10" i="5"/>
  <c r="R10" i="5"/>
  <c r="Q10" i="5"/>
  <c r="P10" i="5"/>
  <c r="S9" i="5"/>
  <c r="R9" i="5"/>
  <c r="Q9" i="5"/>
  <c r="P9" i="5"/>
  <c r="S8" i="5"/>
  <c r="R8" i="5"/>
  <c r="Q8" i="5"/>
  <c r="P8" i="5"/>
  <c r="S7" i="5"/>
  <c r="R7" i="5"/>
  <c r="Q7" i="5"/>
  <c r="P7" i="5"/>
  <c r="S6" i="5"/>
  <c r="R6" i="5"/>
  <c r="Q6" i="5"/>
  <c r="P6" i="5"/>
  <c r="S5" i="5"/>
  <c r="R5" i="5"/>
  <c r="Q5" i="5"/>
  <c r="P5" i="5"/>
  <c r="S4" i="5"/>
  <c r="R4" i="5"/>
  <c r="Q4" i="5"/>
  <c r="P4" i="5"/>
  <c r="N4" i="5"/>
  <c r="N8" i="5" s="1"/>
  <c r="S3" i="5"/>
  <c r="R3" i="5"/>
  <c r="Q3" i="5"/>
  <c r="P3" i="5"/>
  <c r="N3" i="5"/>
  <c r="N7" i="5" s="1"/>
  <c r="R3" i="2"/>
  <c r="S3" i="2"/>
  <c r="R4" i="2"/>
  <c r="S4" i="2"/>
  <c r="R5" i="2"/>
  <c r="S5" i="2"/>
  <c r="R6" i="2"/>
  <c r="S6" i="2"/>
  <c r="R7" i="2"/>
  <c r="S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R20" i="2"/>
  <c r="S20" i="2"/>
  <c r="R21" i="2"/>
  <c r="S21" i="2"/>
  <c r="R22" i="2"/>
  <c r="S22" i="2"/>
  <c r="R23" i="2"/>
  <c r="S23" i="2"/>
  <c r="R24" i="2"/>
  <c r="S24" i="2"/>
  <c r="R25" i="2"/>
  <c r="S25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3" i="2"/>
  <c r="N3" i="2"/>
  <c r="N7" i="2" s="1"/>
  <c r="N4" i="2"/>
  <c r="N8" i="2" s="1"/>
</calcChain>
</file>

<file path=xl/sharedStrings.xml><?xml version="1.0" encoding="utf-8"?>
<sst xmlns="http://schemas.openxmlformats.org/spreadsheetml/2006/main" count="99" uniqueCount="32">
  <si>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</si>
  <si>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</si>
  <si>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</si>
  <si>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</si>
  <si>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</si>
  <si>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</si>
  <si>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</si>
  <si>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</si>
  <si>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</si>
  <si>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</si>
  <si>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</si>
  <si>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</si>
  <si>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</si>
  <si>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</si>
  <si>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</si>
  <si>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</si>
  <si>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R</t>
  </si>
  <si>
    <t>U17</t>
  </si>
  <si>
    <t>mu</t>
  </si>
  <si>
    <t>U_C</t>
  </si>
  <si>
    <t>U_L</t>
  </si>
  <si>
    <t>mu, кГц</t>
  </si>
  <si>
    <t>-</t>
  </si>
  <si>
    <t>Макс U_c</t>
  </si>
  <si>
    <t>Макс U_l</t>
  </si>
  <si>
    <t>0.7U_c</t>
  </si>
  <si>
    <t>0.7U_l</t>
  </si>
  <si>
    <t>U</t>
  </si>
  <si>
    <t>U_R</t>
  </si>
  <si>
    <t>Границы</t>
  </si>
  <si>
    <t>U_0</t>
  </si>
  <si>
    <t>0.63U_0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</si>
</sst>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декремента от амплитуды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0.00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Лист1!$A$3:$A$19</c:f>
              <c:strCache>
                <c:ptCount val="17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  <c:pt idx="10">
                  <c:v>U11</c:v>
                </c:pt>
                <c:pt idx="11">
                  <c:v>U12</c:v>
                </c:pt>
                <c:pt idx="12">
                  <c:v>U13</c:v>
                </c:pt>
                <c:pt idx="13">
                  <c:v>U14</c:v>
                </c:pt>
                <c:pt idx="14">
                  <c:v>U15</c:v>
                </c:pt>
                <c:pt idx="15">
                  <c:v>U16</c:v>
                </c:pt>
                <c:pt idx="16">
                  <c:v>U17</c:v>
                </c:pt>
              </c:strCache>
            </c:strRef>
          </c:xVal>
          <c:yVal>
            <c:numRef>
              <c:f>Лист1!$B$3:$B$19</c:f>
              <c:numCache>
                <c:formatCode>0.00</c:formatCode>
                <c:ptCount val="17"/>
                <c:pt idx="0">
                  <c:v>11.4</c:v>
                </c:pt>
                <c:pt idx="1">
                  <c:v>10.7</c:v>
                </c:pt>
                <c:pt idx="2">
                  <c:v>10</c:v>
                </c:pt>
                <c:pt idx="3">
                  <c:v>9.36</c:v>
                </c:pt>
                <c:pt idx="4">
                  <c:v>8.64</c:v>
                </c:pt>
                <c:pt idx="5">
                  <c:v>8.08</c:v>
                </c:pt>
                <c:pt idx="6">
                  <c:v>7.6</c:v>
                </c:pt>
                <c:pt idx="7">
                  <c:v>7.04</c:v>
                </c:pt>
                <c:pt idx="8">
                  <c:v>6.64</c:v>
                </c:pt>
                <c:pt idx="9">
                  <c:v>6.16</c:v>
                </c:pt>
                <c:pt idx="10">
                  <c:v>5.76</c:v>
                </c:pt>
                <c:pt idx="11">
                  <c:v>5.36</c:v>
                </c:pt>
                <c:pt idx="12">
                  <c:v>4.96</c:v>
                </c:pt>
                <c:pt idx="13">
                  <c:v>4.4000000000000004</c:v>
                </c:pt>
                <c:pt idx="14">
                  <c:v>4.08</c:v>
                </c:pt>
                <c:pt idx="15">
                  <c:v>3.84</c:v>
                </c:pt>
                <c:pt idx="16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9-4C7F-A0BC-6B3D1E8A6FFE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0.02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Лист1!$A$3:$A$19</c:f>
              <c:strCache>
                <c:ptCount val="17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  <c:pt idx="10">
                  <c:v>U11</c:v>
                </c:pt>
                <c:pt idx="11">
                  <c:v>U12</c:v>
                </c:pt>
                <c:pt idx="12">
                  <c:v>U13</c:v>
                </c:pt>
                <c:pt idx="13">
                  <c:v>U14</c:v>
                </c:pt>
                <c:pt idx="14">
                  <c:v>U15</c:v>
                </c:pt>
                <c:pt idx="15">
                  <c:v>U16</c:v>
                </c:pt>
                <c:pt idx="16">
                  <c:v>U17</c:v>
                </c:pt>
              </c:strCache>
            </c:strRef>
          </c:xVal>
          <c:yVal>
            <c:numRef>
              <c:f>Лист1!$C$3:$C$19</c:f>
              <c:numCache>
                <c:formatCode>0.00</c:formatCode>
                <c:ptCount val="17"/>
                <c:pt idx="0">
                  <c:v>11.4</c:v>
                </c:pt>
                <c:pt idx="1">
                  <c:v>10.6</c:v>
                </c:pt>
                <c:pt idx="2">
                  <c:v>9.84</c:v>
                </c:pt>
                <c:pt idx="3">
                  <c:v>9.0399999999999991</c:v>
                </c:pt>
                <c:pt idx="4">
                  <c:v>8.4</c:v>
                </c:pt>
                <c:pt idx="5">
                  <c:v>7.68</c:v>
                </c:pt>
                <c:pt idx="6">
                  <c:v>7.12</c:v>
                </c:pt>
                <c:pt idx="7">
                  <c:v>6.48</c:v>
                </c:pt>
                <c:pt idx="8">
                  <c:v>6</c:v>
                </c:pt>
                <c:pt idx="9">
                  <c:v>5.6</c:v>
                </c:pt>
                <c:pt idx="10">
                  <c:v>5.2</c:v>
                </c:pt>
                <c:pt idx="11">
                  <c:v>4.8</c:v>
                </c:pt>
                <c:pt idx="12">
                  <c:v>4.4000000000000004</c:v>
                </c:pt>
                <c:pt idx="13">
                  <c:v>4.08</c:v>
                </c:pt>
                <c:pt idx="14">
                  <c:v>3.76</c:v>
                </c:pt>
                <c:pt idx="15">
                  <c:v>3.44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9-4C7F-A0BC-6B3D1E8A6FFE}"/>
            </c:ext>
          </c:extLst>
        </c:ser>
        <c:ser>
          <c:idx val="2"/>
          <c:order val="2"/>
          <c:tx>
            <c:strRef>
              <c:f>Лист1!$D$2</c:f>
              <c:strCache>
                <c:ptCount val="1"/>
                <c:pt idx="0">
                  <c:v>0.05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Лист1!$A$3:$A$19</c:f>
              <c:strCache>
                <c:ptCount val="17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  <c:pt idx="10">
                  <c:v>U11</c:v>
                </c:pt>
                <c:pt idx="11">
                  <c:v>U12</c:v>
                </c:pt>
                <c:pt idx="12">
                  <c:v>U13</c:v>
                </c:pt>
                <c:pt idx="13">
                  <c:v>U14</c:v>
                </c:pt>
                <c:pt idx="14">
                  <c:v>U15</c:v>
                </c:pt>
                <c:pt idx="15">
                  <c:v>U16</c:v>
                </c:pt>
                <c:pt idx="16">
                  <c:v>U17</c:v>
                </c:pt>
              </c:strCache>
            </c:strRef>
          </c:xVal>
          <c:yVal>
            <c:numRef>
              <c:f>Лист1!$D$3:$D$19</c:f>
              <c:numCache>
                <c:formatCode>0.00</c:formatCode>
                <c:ptCount val="17"/>
                <c:pt idx="0">
                  <c:v>11.4</c:v>
                </c:pt>
                <c:pt idx="1">
                  <c:v>10.4</c:v>
                </c:pt>
                <c:pt idx="2">
                  <c:v>9.44</c:v>
                </c:pt>
                <c:pt idx="3">
                  <c:v>8.56</c:v>
                </c:pt>
                <c:pt idx="4">
                  <c:v>7.76</c:v>
                </c:pt>
                <c:pt idx="5">
                  <c:v>6.96</c:v>
                </c:pt>
                <c:pt idx="6">
                  <c:v>6.24</c:v>
                </c:pt>
                <c:pt idx="7">
                  <c:v>5.68</c:v>
                </c:pt>
                <c:pt idx="8">
                  <c:v>5.2</c:v>
                </c:pt>
                <c:pt idx="9">
                  <c:v>4.72</c:v>
                </c:pt>
                <c:pt idx="10">
                  <c:v>4.24</c:v>
                </c:pt>
                <c:pt idx="11">
                  <c:v>3.84</c:v>
                </c:pt>
                <c:pt idx="12">
                  <c:v>3.44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39-4C7F-A0BC-6B3D1E8A6FFE}"/>
            </c:ext>
          </c:extLst>
        </c:ser>
        <c:ser>
          <c:idx val="3"/>
          <c:order val="3"/>
          <c:tx>
            <c:strRef>
              <c:f>Лист1!$E$2</c:f>
              <c:strCache>
                <c:ptCount val="1"/>
                <c:pt idx="0">
                  <c:v>0.10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strRef>
              <c:f>Лист1!$A$3:$A$19</c:f>
              <c:strCache>
                <c:ptCount val="17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  <c:pt idx="10">
                  <c:v>U11</c:v>
                </c:pt>
                <c:pt idx="11">
                  <c:v>U12</c:v>
                </c:pt>
                <c:pt idx="12">
                  <c:v>U13</c:v>
                </c:pt>
                <c:pt idx="13">
                  <c:v>U14</c:v>
                </c:pt>
                <c:pt idx="14">
                  <c:v>U15</c:v>
                </c:pt>
                <c:pt idx="15">
                  <c:v>U16</c:v>
                </c:pt>
                <c:pt idx="16">
                  <c:v>U17</c:v>
                </c:pt>
              </c:strCache>
            </c:strRef>
          </c:xVal>
          <c:yVal>
            <c:numRef>
              <c:f>Лист1!$E$3:$E$19</c:f>
              <c:numCache>
                <c:formatCode>0.00</c:formatCode>
                <c:ptCount val="17"/>
                <c:pt idx="0">
                  <c:v>11.4</c:v>
                </c:pt>
                <c:pt idx="1">
                  <c:v>10.1</c:v>
                </c:pt>
                <c:pt idx="2">
                  <c:v>8.8800000000000008</c:v>
                </c:pt>
                <c:pt idx="3">
                  <c:v>7.76</c:v>
                </c:pt>
                <c:pt idx="4">
                  <c:v>6.88</c:v>
                </c:pt>
                <c:pt idx="5">
                  <c:v>6.08</c:v>
                </c:pt>
                <c:pt idx="6">
                  <c:v>5.36</c:v>
                </c:pt>
                <c:pt idx="7">
                  <c:v>4.6399999999999997</c:v>
                </c:pt>
                <c:pt idx="8">
                  <c:v>4.08</c:v>
                </c:pt>
                <c:pt idx="9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9-4C7F-A0BC-6B3D1E8A6FFE}"/>
            </c:ext>
          </c:extLst>
        </c:ser>
        <c:ser>
          <c:idx val="4"/>
          <c:order val="4"/>
          <c:tx>
            <c:strRef>
              <c:f>Лист1!$F$2</c:f>
              <c:strCache>
                <c:ptCount val="1"/>
                <c:pt idx="0">
                  <c:v>0.23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strRef>
              <c:f>Лист1!$A$3:$A$19</c:f>
              <c:strCache>
                <c:ptCount val="17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  <c:pt idx="10">
                  <c:v>U11</c:v>
                </c:pt>
                <c:pt idx="11">
                  <c:v>U12</c:v>
                </c:pt>
                <c:pt idx="12">
                  <c:v>U13</c:v>
                </c:pt>
                <c:pt idx="13">
                  <c:v>U14</c:v>
                </c:pt>
                <c:pt idx="14">
                  <c:v>U15</c:v>
                </c:pt>
                <c:pt idx="15">
                  <c:v>U16</c:v>
                </c:pt>
                <c:pt idx="16">
                  <c:v>U17</c:v>
                </c:pt>
              </c:strCache>
            </c:strRef>
          </c:xVal>
          <c:yVal>
            <c:numRef>
              <c:f>Лист1!$F$3:$F$19</c:f>
              <c:numCache>
                <c:formatCode>0.00</c:formatCode>
                <c:ptCount val="17"/>
                <c:pt idx="0">
                  <c:v>11.4</c:v>
                </c:pt>
                <c:pt idx="1">
                  <c:v>9.36</c:v>
                </c:pt>
                <c:pt idx="2">
                  <c:v>7.68</c:v>
                </c:pt>
                <c:pt idx="3">
                  <c:v>6.24</c:v>
                </c:pt>
                <c:pt idx="4">
                  <c:v>5.04</c:v>
                </c:pt>
                <c:pt idx="5">
                  <c:v>4.16</c:v>
                </c:pt>
                <c:pt idx="6">
                  <c:v>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39-4C7F-A0BC-6B3D1E8A6FFE}"/>
            </c:ext>
          </c:extLst>
        </c:ser>
        <c:ser>
          <c:idx val="5"/>
          <c:order val="5"/>
          <c:tx>
            <c:strRef>
              <c:f>Лист1!$G$2</c:f>
              <c:strCache>
                <c:ptCount val="1"/>
                <c:pt idx="0">
                  <c:v>0.50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strRef>
              <c:f>Лист1!$A$3:$A$19</c:f>
              <c:strCache>
                <c:ptCount val="17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  <c:pt idx="10">
                  <c:v>U11</c:v>
                </c:pt>
                <c:pt idx="11">
                  <c:v>U12</c:v>
                </c:pt>
                <c:pt idx="12">
                  <c:v>U13</c:v>
                </c:pt>
                <c:pt idx="13">
                  <c:v>U14</c:v>
                </c:pt>
                <c:pt idx="14">
                  <c:v>U15</c:v>
                </c:pt>
                <c:pt idx="15">
                  <c:v>U16</c:v>
                </c:pt>
                <c:pt idx="16">
                  <c:v>U17</c:v>
                </c:pt>
              </c:strCache>
            </c:strRef>
          </c:xVal>
          <c:yVal>
            <c:numRef>
              <c:f>Лист1!$G$3:$G$19</c:f>
              <c:numCache>
                <c:formatCode>0.00</c:formatCode>
                <c:ptCount val="17"/>
                <c:pt idx="0">
                  <c:v>11.4</c:v>
                </c:pt>
                <c:pt idx="1">
                  <c:v>8</c:v>
                </c:pt>
                <c:pt idx="2">
                  <c:v>5.6</c:v>
                </c:pt>
                <c:pt idx="3">
                  <c:v>3.92</c:v>
                </c:pt>
                <c:pt idx="4">
                  <c:v>2.72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39-4C7F-A0BC-6B3D1E8A6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603263"/>
        <c:axId val="1712741631"/>
      </c:scatterChart>
      <c:valAx>
        <c:axId val="171960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41631"/>
        <c:crosses val="autoZero"/>
        <c:crossBetween val="midCat"/>
      </c:valAx>
      <c:valAx>
        <c:axId val="171274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03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Лист2!$I$2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Лист2!$H$3:$H$37</c:f>
              <c:numCache>
                <c:formatCode>General</c:formatCode>
                <c:ptCount val="35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  <c:pt idx="23">
                  <c:v>4.70800000000001</c:v>
                </c:pt>
                <c:pt idx="24">
                  <c:v>4.7090000000000103</c:v>
                </c:pt>
                <c:pt idx="25">
                  <c:v>4.7100000000000097</c:v>
                </c:pt>
                <c:pt idx="26">
                  <c:v>4.7110000000000101</c:v>
                </c:pt>
                <c:pt idx="27">
                  <c:v>4.7120000000000104</c:v>
                </c:pt>
                <c:pt idx="28">
                  <c:v>4.7130000000000098</c:v>
                </c:pt>
                <c:pt idx="29">
                  <c:v>4.7140000000000102</c:v>
                </c:pt>
                <c:pt idx="30">
                  <c:v>4.7150000000000096</c:v>
                </c:pt>
                <c:pt idx="31">
                  <c:v>4.71600000000001</c:v>
                </c:pt>
                <c:pt idx="32">
                  <c:v>4.7170000000000103</c:v>
                </c:pt>
                <c:pt idx="33">
                  <c:v>4.7180000000000097</c:v>
                </c:pt>
                <c:pt idx="34">
                  <c:v>4.7190000000000101</c:v>
                </c:pt>
              </c:numCache>
            </c:numRef>
          </c:xVal>
          <c:yVal>
            <c:numRef>
              <c:f>Лист2!$I$3:$I$37</c:f>
              <c:numCache>
                <c:formatCode>General</c:formatCode>
                <c:ptCount val="35"/>
                <c:pt idx="0">
                  <c:v>1.663</c:v>
                </c:pt>
                <c:pt idx="1">
                  <c:v>1.6632</c:v>
                </c:pt>
                <c:pt idx="2">
                  <c:v>1.6633</c:v>
                </c:pt>
                <c:pt idx="3">
                  <c:v>1.6634</c:v>
                </c:pt>
                <c:pt idx="4">
                  <c:v>1.6634</c:v>
                </c:pt>
                <c:pt idx="5">
                  <c:v>1.6635</c:v>
                </c:pt>
                <c:pt idx="6">
                  <c:v>1.6635</c:v>
                </c:pt>
                <c:pt idx="7">
                  <c:v>1.6635</c:v>
                </c:pt>
                <c:pt idx="8">
                  <c:v>1.6635</c:v>
                </c:pt>
                <c:pt idx="9">
                  <c:v>1.6636</c:v>
                </c:pt>
                <c:pt idx="10">
                  <c:v>1.6635</c:v>
                </c:pt>
                <c:pt idx="11">
                  <c:v>1.6635</c:v>
                </c:pt>
                <c:pt idx="12">
                  <c:v>1.6633</c:v>
                </c:pt>
                <c:pt idx="13">
                  <c:v>1.6636</c:v>
                </c:pt>
                <c:pt idx="14">
                  <c:v>1.6634</c:v>
                </c:pt>
                <c:pt idx="15">
                  <c:v>1.6633</c:v>
                </c:pt>
                <c:pt idx="16">
                  <c:v>1.6629</c:v>
                </c:pt>
                <c:pt idx="17">
                  <c:v>1.6628000000000001</c:v>
                </c:pt>
                <c:pt idx="18">
                  <c:v>1.6625000000000001</c:v>
                </c:pt>
                <c:pt idx="19">
                  <c:v>1.6624000000000001</c:v>
                </c:pt>
                <c:pt idx="20">
                  <c:v>1.6620999999999999</c:v>
                </c:pt>
                <c:pt idx="21">
                  <c:v>1.6619999999999999</c:v>
                </c:pt>
                <c:pt idx="22">
                  <c:v>1.6616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F-408E-B82A-74870CED9E26}"/>
            </c:ext>
          </c:extLst>
        </c:ser>
        <c:ser>
          <c:idx val="1"/>
          <c:order val="1"/>
          <c:tx>
            <c:strRef>
              <c:f>Лист2!$J$2</c:f>
              <c:strCache>
                <c:ptCount val="1"/>
                <c:pt idx="0">
                  <c:v>U_L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Лист2!$H$3:$H$37</c:f>
              <c:numCache>
                <c:formatCode>General</c:formatCode>
                <c:ptCount val="35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  <c:pt idx="23">
                  <c:v>4.70800000000001</c:v>
                </c:pt>
                <c:pt idx="24">
                  <c:v>4.7090000000000103</c:v>
                </c:pt>
                <c:pt idx="25">
                  <c:v>4.7100000000000097</c:v>
                </c:pt>
                <c:pt idx="26">
                  <c:v>4.7110000000000101</c:v>
                </c:pt>
                <c:pt idx="27">
                  <c:v>4.7120000000000104</c:v>
                </c:pt>
                <c:pt idx="28">
                  <c:v>4.7130000000000098</c:v>
                </c:pt>
                <c:pt idx="29">
                  <c:v>4.7140000000000102</c:v>
                </c:pt>
                <c:pt idx="30">
                  <c:v>4.7150000000000096</c:v>
                </c:pt>
                <c:pt idx="31">
                  <c:v>4.71600000000001</c:v>
                </c:pt>
                <c:pt idx="32">
                  <c:v>4.7170000000000103</c:v>
                </c:pt>
                <c:pt idx="33">
                  <c:v>4.7180000000000097</c:v>
                </c:pt>
                <c:pt idx="34">
                  <c:v>4.7190000000000101</c:v>
                </c:pt>
              </c:numCache>
            </c:numRef>
          </c:xVal>
          <c:yVal>
            <c:numRef>
              <c:f>Лист2!$J$3:$J$37</c:f>
              <c:numCache>
                <c:formatCode>General</c:formatCode>
                <c:ptCount val="35"/>
                <c:pt idx="0">
                  <c:v>1.651</c:v>
                </c:pt>
                <c:pt idx="1">
                  <c:v>1.6519999999999999</c:v>
                </c:pt>
                <c:pt idx="2">
                  <c:v>1.653</c:v>
                </c:pt>
                <c:pt idx="3">
                  <c:v>1.6537999999999999</c:v>
                </c:pt>
                <c:pt idx="4">
                  <c:v>1.6547000000000001</c:v>
                </c:pt>
                <c:pt idx="5">
                  <c:v>1.6555</c:v>
                </c:pt>
                <c:pt idx="6">
                  <c:v>1.6561999999999999</c:v>
                </c:pt>
                <c:pt idx="7">
                  <c:v>1.657</c:v>
                </c:pt>
                <c:pt idx="8">
                  <c:v>1.6577</c:v>
                </c:pt>
                <c:pt idx="9">
                  <c:v>1.6585000000000001</c:v>
                </c:pt>
                <c:pt idx="10">
                  <c:v>1.6592</c:v>
                </c:pt>
                <c:pt idx="11">
                  <c:v>1.6597999999999999</c:v>
                </c:pt>
                <c:pt idx="12">
                  <c:v>1.6605000000000001</c:v>
                </c:pt>
                <c:pt idx="13">
                  <c:v>1.6615</c:v>
                </c:pt>
                <c:pt idx="14">
                  <c:v>1.6621999999999999</c:v>
                </c:pt>
                <c:pt idx="15">
                  <c:v>1.6629</c:v>
                </c:pt>
                <c:pt idx="16">
                  <c:v>1.6633</c:v>
                </c:pt>
                <c:pt idx="17">
                  <c:v>1.6637999999999999</c:v>
                </c:pt>
                <c:pt idx="18">
                  <c:v>1.6642999999999999</c:v>
                </c:pt>
                <c:pt idx="19">
                  <c:v>1.6648000000000001</c:v>
                </c:pt>
                <c:pt idx="20">
                  <c:v>1.6653</c:v>
                </c:pt>
                <c:pt idx="21">
                  <c:v>1.6659999999999999</c:v>
                </c:pt>
                <c:pt idx="22">
                  <c:v>1.6657999999999999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F-408E-B82A-74870CED9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748687"/>
        <c:axId val="1863747247"/>
      </c:scatterChart>
      <c:valAx>
        <c:axId val="186374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47247"/>
        <c:crosses val="autoZero"/>
        <c:crossBetween val="midCat"/>
      </c:valAx>
      <c:valAx>
        <c:axId val="18637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4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Лист2!$Q$2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Лист2!$P$3:$P$37</c:f>
              <c:numCache>
                <c:formatCode>General</c:formatCode>
                <c:ptCount val="35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</c:numCache>
            </c:numRef>
          </c:xVal>
          <c:yVal>
            <c:numRef>
              <c:f>Лист2!$Q$3:$Q$37</c:f>
              <c:numCache>
                <c:formatCode>General</c:formatCode>
                <c:ptCount val="35"/>
                <c:pt idx="0">
                  <c:v>1.663</c:v>
                </c:pt>
                <c:pt idx="1">
                  <c:v>1.663</c:v>
                </c:pt>
                <c:pt idx="2">
                  <c:v>1.663</c:v>
                </c:pt>
                <c:pt idx="3">
                  <c:v>1.663</c:v>
                </c:pt>
                <c:pt idx="4">
                  <c:v>1.663</c:v>
                </c:pt>
                <c:pt idx="5">
                  <c:v>1.6639999999999999</c:v>
                </c:pt>
                <c:pt idx="6">
                  <c:v>1.6639999999999999</c:v>
                </c:pt>
                <c:pt idx="7">
                  <c:v>1.6639999999999999</c:v>
                </c:pt>
                <c:pt idx="8">
                  <c:v>1.6639999999999999</c:v>
                </c:pt>
                <c:pt idx="9">
                  <c:v>1.6639999999999999</c:v>
                </c:pt>
                <c:pt idx="10">
                  <c:v>1.6639999999999999</c:v>
                </c:pt>
                <c:pt idx="11">
                  <c:v>1.6639999999999999</c:v>
                </c:pt>
                <c:pt idx="12">
                  <c:v>1.663</c:v>
                </c:pt>
                <c:pt idx="13">
                  <c:v>1.6639999999999999</c:v>
                </c:pt>
                <c:pt idx="14">
                  <c:v>1.663</c:v>
                </c:pt>
                <c:pt idx="15">
                  <c:v>1.663</c:v>
                </c:pt>
                <c:pt idx="16">
                  <c:v>1.663</c:v>
                </c:pt>
                <c:pt idx="17">
                  <c:v>1.663</c:v>
                </c:pt>
                <c:pt idx="18">
                  <c:v>1.663</c:v>
                </c:pt>
                <c:pt idx="19">
                  <c:v>1.6619999999999999</c:v>
                </c:pt>
                <c:pt idx="20">
                  <c:v>1.6619999999999999</c:v>
                </c:pt>
                <c:pt idx="21">
                  <c:v>1.6619999999999999</c:v>
                </c:pt>
                <c:pt idx="22">
                  <c:v>1.6619999999999999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6-4A90-A0E5-C5F04C57A135}"/>
            </c:ext>
          </c:extLst>
        </c:ser>
        <c:ser>
          <c:idx val="1"/>
          <c:order val="1"/>
          <c:tx>
            <c:strRef>
              <c:f>Лист2!$R$2</c:f>
              <c:strCache>
                <c:ptCount val="1"/>
                <c:pt idx="0">
                  <c:v>U_L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Лист2!$P$3:$P$37</c:f>
              <c:numCache>
                <c:formatCode>General</c:formatCode>
                <c:ptCount val="35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</c:numCache>
            </c:numRef>
          </c:xVal>
          <c:yVal>
            <c:numRef>
              <c:f>Лист2!$R$3:$R$37</c:f>
              <c:numCache>
                <c:formatCode>General</c:formatCode>
                <c:ptCount val="35"/>
                <c:pt idx="0">
                  <c:v>1.651</c:v>
                </c:pt>
                <c:pt idx="1">
                  <c:v>1.6519999999999999</c:v>
                </c:pt>
                <c:pt idx="2">
                  <c:v>1.653</c:v>
                </c:pt>
                <c:pt idx="3">
                  <c:v>1.6539999999999999</c:v>
                </c:pt>
                <c:pt idx="4">
                  <c:v>1.655</c:v>
                </c:pt>
                <c:pt idx="5">
                  <c:v>1.6559999999999999</c:v>
                </c:pt>
                <c:pt idx="6">
                  <c:v>1.6559999999999999</c:v>
                </c:pt>
                <c:pt idx="7">
                  <c:v>1.657</c:v>
                </c:pt>
                <c:pt idx="8">
                  <c:v>1.6579999999999999</c:v>
                </c:pt>
                <c:pt idx="9">
                  <c:v>1.659</c:v>
                </c:pt>
                <c:pt idx="10">
                  <c:v>1.659</c:v>
                </c:pt>
                <c:pt idx="11">
                  <c:v>1.66</c:v>
                </c:pt>
                <c:pt idx="12">
                  <c:v>1.661</c:v>
                </c:pt>
                <c:pt idx="13">
                  <c:v>1.6619999999999999</c:v>
                </c:pt>
                <c:pt idx="14">
                  <c:v>1.6619999999999999</c:v>
                </c:pt>
                <c:pt idx="15">
                  <c:v>1.663</c:v>
                </c:pt>
                <c:pt idx="16">
                  <c:v>1.663</c:v>
                </c:pt>
                <c:pt idx="17">
                  <c:v>1.6639999999999999</c:v>
                </c:pt>
                <c:pt idx="18">
                  <c:v>1.6639999999999999</c:v>
                </c:pt>
                <c:pt idx="19">
                  <c:v>1.665</c:v>
                </c:pt>
                <c:pt idx="20">
                  <c:v>1.665</c:v>
                </c:pt>
                <c:pt idx="21">
                  <c:v>1.6659999999999999</c:v>
                </c:pt>
                <c:pt idx="22">
                  <c:v>1.6659999999999999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D6-4A90-A0E5-C5F04C57A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846064"/>
        <c:axId val="1540847504"/>
      </c:scatterChart>
      <c:valAx>
        <c:axId val="154084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47504"/>
        <c:crosses val="autoZero"/>
        <c:crossBetween val="midCat"/>
      </c:valAx>
      <c:valAx>
        <c:axId val="15408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4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Лист2!$I$2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Лист2!$H$3:$H$37</c:f>
              <c:numCache>
                <c:formatCode>General</c:formatCode>
                <c:ptCount val="35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  <c:pt idx="23">
                  <c:v>4.70800000000001</c:v>
                </c:pt>
                <c:pt idx="24">
                  <c:v>4.7090000000000103</c:v>
                </c:pt>
                <c:pt idx="25">
                  <c:v>4.7100000000000097</c:v>
                </c:pt>
                <c:pt idx="26">
                  <c:v>4.7110000000000101</c:v>
                </c:pt>
                <c:pt idx="27">
                  <c:v>4.7120000000000104</c:v>
                </c:pt>
                <c:pt idx="28">
                  <c:v>4.7130000000000098</c:v>
                </c:pt>
                <c:pt idx="29">
                  <c:v>4.7140000000000102</c:v>
                </c:pt>
                <c:pt idx="30">
                  <c:v>4.7150000000000096</c:v>
                </c:pt>
                <c:pt idx="31">
                  <c:v>4.71600000000001</c:v>
                </c:pt>
                <c:pt idx="32">
                  <c:v>4.7170000000000103</c:v>
                </c:pt>
                <c:pt idx="33">
                  <c:v>4.7180000000000097</c:v>
                </c:pt>
                <c:pt idx="34">
                  <c:v>4.7190000000000101</c:v>
                </c:pt>
              </c:numCache>
            </c:numRef>
          </c:xVal>
          <c:yVal>
            <c:numRef>
              <c:f>Лист2!$I$3:$I$37</c:f>
              <c:numCache>
                <c:formatCode>General</c:formatCode>
                <c:ptCount val="35"/>
                <c:pt idx="0">
                  <c:v>1.663</c:v>
                </c:pt>
                <c:pt idx="1">
                  <c:v>1.6632</c:v>
                </c:pt>
                <c:pt idx="2">
                  <c:v>1.6633</c:v>
                </c:pt>
                <c:pt idx="3">
                  <c:v>1.6634</c:v>
                </c:pt>
                <c:pt idx="4">
                  <c:v>1.6634</c:v>
                </c:pt>
                <c:pt idx="5">
                  <c:v>1.6635</c:v>
                </c:pt>
                <c:pt idx="6">
                  <c:v>1.6635</c:v>
                </c:pt>
                <c:pt idx="7">
                  <c:v>1.6635</c:v>
                </c:pt>
                <c:pt idx="8">
                  <c:v>1.6635</c:v>
                </c:pt>
                <c:pt idx="9">
                  <c:v>1.6636</c:v>
                </c:pt>
                <c:pt idx="10">
                  <c:v>1.6635</c:v>
                </c:pt>
                <c:pt idx="11">
                  <c:v>1.6635</c:v>
                </c:pt>
                <c:pt idx="12">
                  <c:v>1.6633</c:v>
                </c:pt>
                <c:pt idx="13">
                  <c:v>1.6636</c:v>
                </c:pt>
                <c:pt idx="14">
                  <c:v>1.6634</c:v>
                </c:pt>
                <c:pt idx="15">
                  <c:v>1.6633</c:v>
                </c:pt>
                <c:pt idx="16">
                  <c:v>1.6629</c:v>
                </c:pt>
                <c:pt idx="17">
                  <c:v>1.6628000000000001</c:v>
                </c:pt>
                <c:pt idx="18">
                  <c:v>1.6625000000000001</c:v>
                </c:pt>
                <c:pt idx="19">
                  <c:v>1.6624000000000001</c:v>
                </c:pt>
                <c:pt idx="20">
                  <c:v>1.6620999999999999</c:v>
                </c:pt>
                <c:pt idx="21">
                  <c:v>1.6619999999999999</c:v>
                </c:pt>
                <c:pt idx="22">
                  <c:v>1.6616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24-41B3-B729-28FF1DEFDFCE}"/>
            </c:ext>
          </c:extLst>
        </c:ser>
        <c:ser>
          <c:idx val="1"/>
          <c:order val="1"/>
          <c:tx>
            <c:strRef>
              <c:f>Лист2!$J$2</c:f>
              <c:strCache>
                <c:ptCount val="1"/>
                <c:pt idx="0">
                  <c:v>U_L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Лист2!$H$3:$H$37</c:f>
              <c:numCache>
                <c:formatCode>General</c:formatCode>
                <c:ptCount val="35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  <c:pt idx="23">
                  <c:v>4.70800000000001</c:v>
                </c:pt>
                <c:pt idx="24">
                  <c:v>4.7090000000000103</c:v>
                </c:pt>
                <c:pt idx="25">
                  <c:v>4.7100000000000097</c:v>
                </c:pt>
                <c:pt idx="26">
                  <c:v>4.7110000000000101</c:v>
                </c:pt>
                <c:pt idx="27">
                  <c:v>4.7120000000000104</c:v>
                </c:pt>
                <c:pt idx="28">
                  <c:v>4.7130000000000098</c:v>
                </c:pt>
                <c:pt idx="29">
                  <c:v>4.7140000000000102</c:v>
                </c:pt>
                <c:pt idx="30">
                  <c:v>4.7150000000000096</c:v>
                </c:pt>
                <c:pt idx="31">
                  <c:v>4.71600000000001</c:v>
                </c:pt>
                <c:pt idx="32">
                  <c:v>4.7170000000000103</c:v>
                </c:pt>
                <c:pt idx="33">
                  <c:v>4.7180000000000097</c:v>
                </c:pt>
                <c:pt idx="34">
                  <c:v>4.7190000000000101</c:v>
                </c:pt>
              </c:numCache>
            </c:numRef>
          </c:xVal>
          <c:yVal>
            <c:numRef>
              <c:f>Лист2!$J$3:$J$37</c:f>
              <c:numCache>
                <c:formatCode>General</c:formatCode>
                <c:ptCount val="35"/>
                <c:pt idx="0">
                  <c:v>1.651</c:v>
                </c:pt>
                <c:pt idx="1">
                  <c:v>1.6519999999999999</c:v>
                </c:pt>
                <c:pt idx="2">
                  <c:v>1.653</c:v>
                </c:pt>
                <c:pt idx="3">
                  <c:v>1.6537999999999999</c:v>
                </c:pt>
                <c:pt idx="4">
                  <c:v>1.6547000000000001</c:v>
                </c:pt>
                <c:pt idx="5">
                  <c:v>1.6555</c:v>
                </c:pt>
                <c:pt idx="6">
                  <c:v>1.6561999999999999</c:v>
                </c:pt>
                <c:pt idx="7">
                  <c:v>1.657</c:v>
                </c:pt>
                <c:pt idx="8">
                  <c:v>1.6577</c:v>
                </c:pt>
                <c:pt idx="9">
                  <c:v>1.6585000000000001</c:v>
                </c:pt>
                <c:pt idx="10">
                  <c:v>1.6592</c:v>
                </c:pt>
                <c:pt idx="11">
                  <c:v>1.6597999999999999</c:v>
                </c:pt>
                <c:pt idx="12">
                  <c:v>1.6605000000000001</c:v>
                </c:pt>
                <c:pt idx="13">
                  <c:v>1.6615</c:v>
                </c:pt>
                <c:pt idx="14">
                  <c:v>1.6621999999999999</c:v>
                </c:pt>
                <c:pt idx="15">
                  <c:v>1.6629</c:v>
                </c:pt>
                <c:pt idx="16">
                  <c:v>1.6633</c:v>
                </c:pt>
                <c:pt idx="17">
                  <c:v>1.6637999999999999</c:v>
                </c:pt>
                <c:pt idx="18">
                  <c:v>1.6642999999999999</c:v>
                </c:pt>
                <c:pt idx="19">
                  <c:v>1.6648000000000001</c:v>
                </c:pt>
                <c:pt idx="20">
                  <c:v>1.6653</c:v>
                </c:pt>
                <c:pt idx="21">
                  <c:v>1.6659999999999999</c:v>
                </c:pt>
                <c:pt idx="22">
                  <c:v>1.6657999999999999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24-41B3-B729-28FF1DEFD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748687"/>
        <c:axId val="1863747247"/>
      </c:scatterChart>
      <c:valAx>
        <c:axId val="186374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47247"/>
        <c:crosses val="autoZero"/>
        <c:crossBetween val="midCat"/>
      </c:valAx>
      <c:valAx>
        <c:axId val="18637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4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Лист7!$L$3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Лист7!$K$4:$K$38</c:f>
              <c:numCache>
                <c:formatCode>General</c:formatCode>
                <c:ptCount val="35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</c:numCache>
            </c:numRef>
          </c:xVal>
          <c:yVal>
            <c:numRef>
              <c:f>Лист7!$L$4:$L$38</c:f>
              <c:numCache>
                <c:formatCode>General</c:formatCode>
                <c:ptCount val="35"/>
                <c:pt idx="0">
                  <c:v>0.21759999999999999</c:v>
                </c:pt>
                <c:pt idx="1">
                  <c:v>0.21959999999999999</c:v>
                </c:pt>
                <c:pt idx="2">
                  <c:v>0.2218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0.5</c:v>
                </c:pt>
                <c:pt idx="27">
                  <c:v>0.5</c:v>
                </c:pt>
                <c:pt idx="28">
                  <c:v>0.6</c:v>
                </c:pt>
                <c:pt idx="29">
                  <c:v>0.6</c:v>
                </c:pt>
                <c:pt idx="30">
                  <c:v>0.7</c:v>
                </c:pt>
                <c:pt idx="31">
                  <c:v>0.8</c:v>
                </c:pt>
                <c:pt idx="32">
                  <c:v>0.9</c:v>
                </c:pt>
                <c:pt idx="33">
                  <c:v>1</c:v>
                </c:pt>
                <c:pt idx="34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7-43BF-99EB-DECC9D97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66255"/>
        <c:axId val="986077295"/>
      </c:scatterChart>
      <c:valAx>
        <c:axId val="98606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77295"/>
        <c:crosses val="autoZero"/>
        <c:crossBetween val="midCat"/>
      </c:valAx>
      <c:valAx>
        <c:axId val="9860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6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Лист7!$W$38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Лист7!$V$39:$V$49</c:f>
              <c:numCache>
                <c:formatCode>General</c:formatCode>
                <c:ptCount val="11"/>
                <c:pt idx="0">
                  <c:v>4.3899999999999997</c:v>
                </c:pt>
                <c:pt idx="1">
                  <c:v>4.2299999999999995</c:v>
                </c:pt>
                <c:pt idx="2">
                  <c:v>4.0699999999999994</c:v>
                </c:pt>
                <c:pt idx="3">
                  <c:v>3.9099999999999993</c:v>
                </c:pt>
                <c:pt idx="4">
                  <c:v>3.7499999999999991</c:v>
                </c:pt>
                <c:pt idx="5">
                  <c:v>3.589999999999999</c:v>
                </c:pt>
                <c:pt idx="6">
                  <c:v>3.6</c:v>
                </c:pt>
                <c:pt idx="7">
                  <c:v>2.95</c:v>
                </c:pt>
                <c:pt idx="8">
                  <c:v>2.3000000000000003</c:v>
                </c:pt>
                <c:pt idx="9">
                  <c:v>1.6500000000000004</c:v>
                </c:pt>
                <c:pt idx="10">
                  <c:v>1.0000000000000004</c:v>
                </c:pt>
              </c:numCache>
            </c:numRef>
          </c:xVal>
          <c:yVal>
            <c:numRef>
              <c:f>Лист7!$W$39:$W$49</c:f>
              <c:numCache>
                <c:formatCode>General</c:formatCode>
                <c:ptCount val="11"/>
                <c:pt idx="0">
                  <c:v>1.1632</c:v>
                </c:pt>
                <c:pt idx="1">
                  <c:v>0.90459999999999996</c:v>
                </c:pt>
                <c:pt idx="2">
                  <c:v>0.73550000000000004</c:v>
                </c:pt>
                <c:pt idx="3">
                  <c:v>0.61739999999999995</c:v>
                </c:pt>
                <c:pt idx="4">
                  <c:v>0.53369999999999995</c:v>
                </c:pt>
                <c:pt idx="5">
                  <c:v>0.47160000000000002</c:v>
                </c:pt>
                <c:pt idx="6">
                  <c:v>0.47499999999999998</c:v>
                </c:pt>
                <c:pt idx="7">
                  <c:v>0.3332</c:v>
                </c:pt>
                <c:pt idx="8">
                  <c:v>0.26919999999999999</c:v>
                </c:pt>
                <c:pt idx="9">
                  <c:v>0.23549999999999999</c:v>
                </c:pt>
                <c:pt idx="10">
                  <c:v>0.21759999999999999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D7-4E6F-AAD7-A7B0DA476F78}"/>
            </c:ext>
          </c:extLst>
        </c:ser>
        <c:ser>
          <c:idx val="1"/>
          <c:order val="1"/>
          <c:tx>
            <c:strRef>
              <c:f>Лист7!$X$38</c:f>
              <c:strCache>
                <c:ptCount val="1"/>
                <c:pt idx="0">
                  <c:v>U_L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Лист7!$V$39:$V$49</c:f>
              <c:numCache>
                <c:formatCode>General</c:formatCode>
                <c:ptCount val="11"/>
                <c:pt idx="0">
                  <c:v>4.3899999999999997</c:v>
                </c:pt>
                <c:pt idx="1">
                  <c:v>4.2299999999999995</c:v>
                </c:pt>
                <c:pt idx="2">
                  <c:v>4.0699999999999994</c:v>
                </c:pt>
                <c:pt idx="3">
                  <c:v>3.9099999999999993</c:v>
                </c:pt>
                <c:pt idx="4">
                  <c:v>3.7499999999999991</c:v>
                </c:pt>
                <c:pt idx="5">
                  <c:v>3.589999999999999</c:v>
                </c:pt>
                <c:pt idx="6">
                  <c:v>3.6</c:v>
                </c:pt>
                <c:pt idx="7">
                  <c:v>2.95</c:v>
                </c:pt>
                <c:pt idx="8">
                  <c:v>2.3000000000000003</c:v>
                </c:pt>
                <c:pt idx="9">
                  <c:v>1.6500000000000004</c:v>
                </c:pt>
                <c:pt idx="10">
                  <c:v>1.0000000000000004</c:v>
                </c:pt>
              </c:numCache>
            </c:numRef>
          </c:xVal>
          <c:yVal>
            <c:numRef>
              <c:f>Лист7!$X$39:$X$49</c:f>
              <c:numCache>
                <c:formatCode>General</c:formatCode>
                <c:ptCount val="11"/>
                <c:pt idx="0">
                  <c:v>1.0068999999999999</c:v>
                </c:pt>
                <c:pt idx="1">
                  <c:v>0.72799999999999998</c:v>
                </c:pt>
                <c:pt idx="2">
                  <c:v>0.54379999999999995</c:v>
                </c:pt>
                <c:pt idx="3">
                  <c:v>0.42020000000000002</c:v>
                </c:pt>
                <c:pt idx="4">
                  <c:v>0.33200000000000002</c:v>
                </c:pt>
                <c:pt idx="5">
                  <c:v>0.26919999999999999</c:v>
                </c:pt>
                <c:pt idx="6">
                  <c:v>0.27260000000000001</c:v>
                </c:pt>
                <c:pt idx="7">
                  <c:v>0.12740000000000001</c:v>
                </c:pt>
                <c:pt idx="8">
                  <c:v>6.2199999999999998E-2</c:v>
                </c:pt>
                <c:pt idx="9">
                  <c:v>2.8000000000000001E-2</c:v>
                </c:pt>
                <c:pt idx="10">
                  <c:v>9.2999999999999992E-3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D7-4E6F-AAD7-A7B0DA476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799615"/>
        <c:axId val="1004800095"/>
      </c:scatterChart>
      <c:valAx>
        <c:axId val="100479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00095"/>
        <c:crosses val="autoZero"/>
        <c:crossBetween val="midCat"/>
      </c:valAx>
      <c:valAx>
        <c:axId val="10048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99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Общее!$D$2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Общее!$C$3:$C$86</c:f>
              <c:numCache>
                <c:formatCode>General</c:formatCode>
                <c:ptCount val="84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  <c:pt idx="23">
                  <c:v>4.3899999999999997</c:v>
                </c:pt>
                <c:pt idx="24">
                  <c:v>4.2299999999999995</c:v>
                </c:pt>
                <c:pt idx="25">
                  <c:v>4.0699999999999994</c:v>
                </c:pt>
                <c:pt idx="26">
                  <c:v>3.9099999999999993</c:v>
                </c:pt>
                <c:pt idx="27">
                  <c:v>3.7499999999999991</c:v>
                </c:pt>
                <c:pt idx="28">
                  <c:v>3.589999999999999</c:v>
                </c:pt>
                <c:pt idx="29">
                  <c:v>3.6</c:v>
                </c:pt>
                <c:pt idx="30">
                  <c:v>2.95</c:v>
                </c:pt>
                <c:pt idx="31">
                  <c:v>2.3000000000000003</c:v>
                </c:pt>
                <c:pt idx="32">
                  <c:v>1.6500000000000004</c:v>
                </c:pt>
                <c:pt idx="33">
                  <c:v>1.0000000000000004</c:v>
                </c:pt>
                <c:pt idx="34">
                  <c:v>4.694</c:v>
                </c:pt>
                <c:pt idx="35">
                  <c:v>4.6740000000000004</c:v>
                </c:pt>
                <c:pt idx="36">
                  <c:v>4.6539999999999999</c:v>
                </c:pt>
                <c:pt idx="37">
                  <c:v>4.6340000000000003</c:v>
                </c:pt>
                <c:pt idx="38">
                  <c:v>4.6139999999999999</c:v>
                </c:pt>
                <c:pt idx="39">
                  <c:v>4.5940000000000003</c:v>
                </c:pt>
                <c:pt idx="40">
                  <c:v>4.5739999999999998</c:v>
                </c:pt>
                <c:pt idx="41">
                  <c:v>4.5540000000000003</c:v>
                </c:pt>
                <c:pt idx="42">
                  <c:v>4.5339999999999998</c:v>
                </c:pt>
                <c:pt idx="43">
                  <c:v>4.5140000000000002</c:v>
                </c:pt>
                <c:pt idx="44">
                  <c:v>4.4939999999999998</c:v>
                </c:pt>
                <c:pt idx="45">
                  <c:v>4.4740000000000002</c:v>
                </c:pt>
                <c:pt idx="46">
                  <c:v>4.4540000000000104</c:v>
                </c:pt>
                <c:pt idx="47">
                  <c:v>4.4340000000000099</c:v>
                </c:pt>
                <c:pt idx="48">
                  <c:v>4.4140000000000104</c:v>
                </c:pt>
                <c:pt idx="49">
                  <c:v>4.3940000000000099</c:v>
                </c:pt>
                <c:pt idx="50">
                  <c:v>4.7060000000000004</c:v>
                </c:pt>
                <c:pt idx="51">
                  <c:v>4.726</c:v>
                </c:pt>
                <c:pt idx="52">
                  <c:v>4.7459999999999996</c:v>
                </c:pt>
                <c:pt idx="53">
                  <c:v>4.7659999999999991</c:v>
                </c:pt>
                <c:pt idx="54">
                  <c:v>4.7859999999999987</c:v>
                </c:pt>
                <c:pt idx="55">
                  <c:v>4.8059999999999983</c:v>
                </c:pt>
                <c:pt idx="56">
                  <c:v>4.8259999999999978</c:v>
                </c:pt>
                <c:pt idx="57">
                  <c:v>4.8459999999999974</c:v>
                </c:pt>
                <c:pt idx="58">
                  <c:v>4.865999999999997</c:v>
                </c:pt>
                <c:pt idx="59">
                  <c:v>4.8859999999999966</c:v>
                </c:pt>
                <c:pt idx="60">
                  <c:v>4.9059999999999961</c:v>
                </c:pt>
                <c:pt idx="61">
                  <c:v>4.9259999999999957</c:v>
                </c:pt>
                <c:pt idx="62">
                  <c:v>4.9459999999999953</c:v>
                </c:pt>
                <c:pt idx="63">
                  <c:v>4.9659999999999949</c:v>
                </c:pt>
                <c:pt idx="64">
                  <c:v>4.9859999999999944</c:v>
                </c:pt>
                <c:pt idx="65">
                  <c:v>5.005999999999994</c:v>
                </c:pt>
                <c:pt idx="66">
                  <c:v>5.0259999999999936</c:v>
                </c:pt>
                <c:pt idx="67">
                  <c:v>5.0459999999999932</c:v>
                </c:pt>
                <c:pt idx="68">
                  <c:v>5.0659999999999927</c:v>
                </c:pt>
                <c:pt idx="69">
                  <c:v>5.0599999999999996</c:v>
                </c:pt>
                <c:pt idx="70">
                  <c:v>5.26</c:v>
                </c:pt>
                <c:pt idx="71">
                  <c:v>5.46</c:v>
                </c:pt>
                <c:pt idx="72">
                  <c:v>5.66</c:v>
                </c:pt>
                <c:pt idx="73">
                  <c:v>5.86</c:v>
                </c:pt>
                <c:pt idx="74">
                  <c:v>6.0600000000000005</c:v>
                </c:pt>
                <c:pt idx="75">
                  <c:v>6.2600000000000007</c:v>
                </c:pt>
                <c:pt idx="76">
                  <c:v>6.4600000000000009</c:v>
                </c:pt>
                <c:pt idx="77">
                  <c:v>6.46</c:v>
                </c:pt>
                <c:pt idx="78">
                  <c:v>7.06</c:v>
                </c:pt>
                <c:pt idx="79">
                  <c:v>7.6599999999999993</c:v>
                </c:pt>
                <c:pt idx="80">
                  <c:v>8.26</c:v>
                </c:pt>
                <c:pt idx="81">
                  <c:v>8.86</c:v>
                </c:pt>
                <c:pt idx="82">
                  <c:v>9.4599999999999991</c:v>
                </c:pt>
                <c:pt idx="83">
                  <c:v>10.059999999999999</c:v>
                </c:pt>
              </c:numCache>
            </c:numRef>
          </c:xVal>
          <c:yVal>
            <c:numRef>
              <c:f>Общее!$D$3:$D$86</c:f>
              <c:numCache>
                <c:formatCode>General</c:formatCode>
                <c:ptCount val="84"/>
                <c:pt idx="0">
                  <c:v>1.663</c:v>
                </c:pt>
                <c:pt idx="1">
                  <c:v>1.6632</c:v>
                </c:pt>
                <c:pt idx="2">
                  <c:v>1.6633</c:v>
                </c:pt>
                <c:pt idx="3">
                  <c:v>1.6634</c:v>
                </c:pt>
                <c:pt idx="4">
                  <c:v>1.6634</c:v>
                </c:pt>
                <c:pt idx="5">
                  <c:v>1.6635</c:v>
                </c:pt>
                <c:pt idx="6">
                  <c:v>1.6635</c:v>
                </c:pt>
                <c:pt idx="7">
                  <c:v>1.6635</c:v>
                </c:pt>
                <c:pt idx="8">
                  <c:v>1.6635</c:v>
                </c:pt>
                <c:pt idx="9">
                  <c:v>1.6636</c:v>
                </c:pt>
                <c:pt idx="10">
                  <c:v>1.6635</c:v>
                </c:pt>
                <c:pt idx="11">
                  <c:v>1.6635</c:v>
                </c:pt>
                <c:pt idx="12">
                  <c:v>1.6633</c:v>
                </c:pt>
                <c:pt idx="13">
                  <c:v>1.6636</c:v>
                </c:pt>
                <c:pt idx="14">
                  <c:v>1.6634</c:v>
                </c:pt>
                <c:pt idx="15">
                  <c:v>1.6633</c:v>
                </c:pt>
                <c:pt idx="16">
                  <c:v>1.6629</c:v>
                </c:pt>
                <c:pt idx="17">
                  <c:v>1.6628000000000001</c:v>
                </c:pt>
                <c:pt idx="18">
                  <c:v>1.6625000000000001</c:v>
                </c:pt>
                <c:pt idx="19">
                  <c:v>1.6624000000000001</c:v>
                </c:pt>
                <c:pt idx="20">
                  <c:v>1.6620999999999999</c:v>
                </c:pt>
                <c:pt idx="21">
                  <c:v>1.6619999999999999</c:v>
                </c:pt>
                <c:pt idx="22">
                  <c:v>1.6616</c:v>
                </c:pt>
                <c:pt idx="23">
                  <c:v>1.1632</c:v>
                </c:pt>
                <c:pt idx="24">
                  <c:v>0.90459999999999996</c:v>
                </c:pt>
                <c:pt idx="25">
                  <c:v>0.73550000000000004</c:v>
                </c:pt>
                <c:pt idx="26">
                  <c:v>0.61739999999999995</c:v>
                </c:pt>
                <c:pt idx="27">
                  <c:v>0.53369999999999995</c:v>
                </c:pt>
                <c:pt idx="28">
                  <c:v>0.47160000000000002</c:v>
                </c:pt>
                <c:pt idx="29">
                  <c:v>0.47499999999999998</c:v>
                </c:pt>
                <c:pt idx="30">
                  <c:v>0.3332</c:v>
                </c:pt>
                <c:pt idx="31">
                  <c:v>0.26919999999999999</c:v>
                </c:pt>
                <c:pt idx="32">
                  <c:v>0.23549999999999999</c:v>
                </c:pt>
                <c:pt idx="33">
                  <c:v>0.21759999999999999</c:v>
                </c:pt>
                <c:pt idx="34">
                  <c:v>1.6656</c:v>
                </c:pt>
                <c:pt idx="35">
                  <c:v>1.6636</c:v>
                </c:pt>
                <c:pt idx="36">
                  <c:v>1.6536</c:v>
                </c:pt>
                <c:pt idx="37">
                  <c:v>1.6359999999999999</c:v>
                </c:pt>
                <c:pt idx="38">
                  <c:v>1.6117999999999999</c:v>
                </c:pt>
                <c:pt idx="39">
                  <c:v>1.5815999999999999</c:v>
                </c:pt>
                <c:pt idx="40">
                  <c:v>1.5468</c:v>
                </c:pt>
                <c:pt idx="41">
                  <c:v>1.5082</c:v>
                </c:pt>
                <c:pt idx="42">
                  <c:v>1.4672000000000001</c:v>
                </c:pt>
                <c:pt idx="43">
                  <c:v>1.4244000000000001</c:v>
                </c:pt>
                <c:pt idx="44">
                  <c:v>1.3813</c:v>
                </c:pt>
                <c:pt idx="45">
                  <c:v>1.3371999999999999</c:v>
                </c:pt>
                <c:pt idx="46">
                  <c:v>1.2938000000000001</c:v>
                </c:pt>
                <c:pt idx="47">
                  <c:v>1.2519</c:v>
                </c:pt>
                <c:pt idx="48">
                  <c:v>1.2107000000000001</c:v>
                </c:pt>
                <c:pt idx="49">
                  <c:v>1.1711</c:v>
                </c:pt>
                <c:pt idx="50">
                  <c:v>1.6627000000000001</c:v>
                </c:pt>
                <c:pt idx="51">
                  <c:v>1.6623000000000001</c:v>
                </c:pt>
                <c:pt idx="52">
                  <c:v>1.6322000000000001</c:v>
                </c:pt>
                <c:pt idx="53">
                  <c:v>1.6063000000000001</c:v>
                </c:pt>
                <c:pt idx="54">
                  <c:v>1.5744</c:v>
                </c:pt>
                <c:pt idx="55">
                  <c:v>1.5377000000000001</c:v>
                </c:pt>
                <c:pt idx="56">
                  <c:v>1.4976</c:v>
                </c:pt>
                <c:pt idx="57">
                  <c:v>1.4544999999999999</c:v>
                </c:pt>
                <c:pt idx="58">
                  <c:v>1.4104000000000001</c:v>
                </c:pt>
                <c:pt idx="59">
                  <c:v>1.365</c:v>
                </c:pt>
                <c:pt idx="60">
                  <c:v>1.3197000000000001</c:v>
                </c:pt>
                <c:pt idx="61">
                  <c:v>1.2746</c:v>
                </c:pt>
                <c:pt idx="62">
                  <c:v>1.2296</c:v>
                </c:pt>
                <c:pt idx="63">
                  <c:v>1.1870000000000001</c:v>
                </c:pt>
                <c:pt idx="64">
                  <c:v>1.1455</c:v>
                </c:pt>
                <c:pt idx="65">
                  <c:v>1.1055999999999999</c:v>
                </c:pt>
                <c:pt idx="66">
                  <c:v>1.0674999999999999</c:v>
                </c:pt>
                <c:pt idx="67">
                  <c:v>1.0307999999999999</c:v>
                </c:pt>
                <c:pt idx="68">
                  <c:v>0.99550000000000005</c:v>
                </c:pt>
                <c:pt idx="69">
                  <c:v>1.0065</c:v>
                </c:pt>
                <c:pt idx="70">
                  <c:v>0.73660000000000003</c:v>
                </c:pt>
                <c:pt idx="71">
                  <c:v>0.5675</c:v>
                </c:pt>
                <c:pt idx="72">
                  <c:v>0.45660000000000001</c:v>
                </c:pt>
                <c:pt idx="73">
                  <c:v>0.37930000000000003</c:v>
                </c:pt>
                <c:pt idx="74">
                  <c:v>0.32250000000000001</c:v>
                </c:pt>
                <c:pt idx="75">
                  <c:v>0.2787</c:v>
                </c:pt>
                <c:pt idx="76">
                  <c:v>0.2445</c:v>
                </c:pt>
                <c:pt idx="77">
                  <c:v>0.2445</c:v>
                </c:pt>
                <c:pt idx="78">
                  <c:v>0.17299999999999999</c:v>
                </c:pt>
                <c:pt idx="79">
                  <c:v>0.13059999999999999</c:v>
                </c:pt>
                <c:pt idx="80">
                  <c:v>0.1028</c:v>
                </c:pt>
                <c:pt idx="81">
                  <c:v>8.3599999999999994E-2</c:v>
                </c:pt>
                <c:pt idx="82">
                  <c:v>6.9599999999999995E-2</c:v>
                </c:pt>
                <c:pt idx="83">
                  <c:v>5.8999999999999997E-2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14-474F-AFDB-A5C41A5364E2}"/>
            </c:ext>
          </c:extLst>
        </c:ser>
        <c:ser>
          <c:idx val="1"/>
          <c:order val="1"/>
          <c:tx>
            <c:strRef>
              <c:f>Общее!$E$2</c:f>
              <c:strCache>
                <c:ptCount val="1"/>
                <c:pt idx="0">
                  <c:v>U_L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Общее!$C$3:$C$86</c:f>
              <c:numCache>
                <c:formatCode>General</c:formatCode>
                <c:ptCount val="84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  <c:pt idx="23">
                  <c:v>4.3899999999999997</c:v>
                </c:pt>
                <c:pt idx="24">
                  <c:v>4.2299999999999995</c:v>
                </c:pt>
                <c:pt idx="25">
                  <c:v>4.0699999999999994</c:v>
                </c:pt>
                <c:pt idx="26">
                  <c:v>3.9099999999999993</c:v>
                </c:pt>
                <c:pt idx="27">
                  <c:v>3.7499999999999991</c:v>
                </c:pt>
                <c:pt idx="28">
                  <c:v>3.589999999999999</c:v>
                </c:pt>
                <c:pt idx="29">
                  <c:v>3.6</c:v>
                </c:pt>
                <c:pt idx="30">
                  <c:v>2.95</c:v>
                </c:pt>
                <c:pt idx="31">
                  <c:v>2.3000000000000003</c:v>
                </c:pt>
                <c:pt idx="32">
                  <c:v>1.6500000000000004</c:v>
                </c:pt>
                <c:pt idx="33">
                  <c:v>1.0000000000000004</c:v>
                </c:pt>
                <c:pt idx="34">
                  <c:v>4.694</c:v>
                </c:pt>
                <c:pt idx="35">
                  <c:v>4.6740000000000004</c:v>
                </c:pt>
                <c:pt idx="36">
                  <c:v>4.6539999999999999</c:v>
                </c:pt>
                <c:pt idx="37">
                  <c:v>4.6340000000000003</c:v>
                </c:pt>
                <c:pt idx="38">
                  <c:v>4.6139999999999999</c:v>
                </c:pt>
                <c:pt idx="39">
                  <c:v>4.5940000000000003</c:v>
                </c:pt>
                <c:pt idx="40">
                  <c:v>4.5739999999999998</c:v>
                </c:pt>
                <c:pt idx="41">
                  <c:v>4.5540000000000003</c:v>
                </c:pt>
                <c:pt idx="42">
                  <c:v>4.5339999999999998</c:v>
                </c:pt>
                <c:pt idx="43">
                  <c:v>4.5140000000000002</c:v>
                </c:pt>
                <c:pt idx="44">
                  <c:v>4.4939999999999998</c:v>
                </c:pt>
                <c:pt idx="45">
                  <c:v>4.4740000000000002</c:v>
                </c:pt>
                <c:pt idx="46">
                  <c:v>4.4540000000000104</c:v>
                </c:pt>
                <c:pt idx="47">
                  <c:v>4.4340000000000099</c:v>
                </c:pt>
                <c:pt idx="48">
                  <c:v>4.4140000000000104</c:v>
                </c:pt>
                <c:pt idx="49">
                  <c:v>4.3940000000000099</c:v>
                </c:pt>
                <c:pt idx="50">
                  <c:v>4.7060000000000004</c:v>
                </c:pt>
                <c:pt idx="51">
                  <c:v>4.726</c:v>
                </c:pt>
                <c:pt idx="52">
                  <c:v>4.7459999999999996</c:v>
                </c:pt>
                <c:pt idx="53">
                  <c:v>4.7659999999999991</c:v>
                </c:pt>
                <c:pt idx="54">
                  <c:v>4.7859999999999987</c:v>
                </c:pt>
                <c:pt idx="55">
                  <c:v>4.8059999999999983</c:v>
                </c:pt>
                <c:pt idx="56">
                  <c:v>4.8259999999999978</c:v>
                </c:pt>
                <c:pt idx="57">
                  <c:v>4.8459999999999974</c:v>
                </c:pt>
                <c:pt idx="58">
                  <c:v>4.865999999999997</c:v>
                </c:pt>
                <c:pt idx="59">
                  <c:v>4.8859999999999966</c:v>
                </c:pt>
                <c:pt idx="60">
                  <c:v>4.9059999999999961</c:v>
                </c:pt>
                <c:pt idx="61">
                  <c:v>4.9259999999999957</c:v>
                </c:pt>
                <c:pt idx="62">
                  <c:v>4.9459999999999953</c:v>
                </c:pt>
                <c:pt idx="63">
                  <c:v>4.9659999999999949</c:v>
                </c:pt>
                <c:pt idx="64">
                  <c:v>4.9859999999999944</c:v>
                </c:pt>
                <c:pt idx="65">
                  <c:v>5.005999999999994</c:v>
                </c:pt>
                <c:pt idx="66">
                  <c:v>5.0259999999999936</c:v>
                </c:pt>
                <c:pt idx="67">
                  <c:v>5.0459999999999932</c:v>
                </c:pt>
                <c:pt idx="68">
                  <c:v>5.0659999999999927</c:v>
                </c:pt>
                <c:pt idx="69">
                  <c:v>5.0599999999999996</c:v>
                </c:pt>
                <c:pt idx="70">
                  <c:v>5.26</c:v>
                </c:pt>
                <c:pt idx="71">
                  <c:v>5.46</c:v>
                </c:pt>
                <c:pt idx="72">
                  <c:v>5.66</c:v>
                </c:pt>
                <c:pt idx="73">
                  <c:v>5.86</c:v>
                </c:pt>
                <c:pt idx="74">
                  <c:v>6.0600000000000005</c:v>
                </c:pt>
                <c:pt idx="75">
                  <c:v>6.2600000000000007</c:v>
                </c:pt>
                <c:pt idx="76">
                  <c:v>6.4600000000000009</c:v>
                </c:pt>
                <c:pt idx="77">
                  <c:v>6.46</c:v>
                </c:pt>
                <c:pt idx="78">
                  <c:v>7.06</c:v>
                </c:pt>
                <c:pt idx="79">
                  <c:v>7.6599999999999993</c:v>
                </c:pt>
                <c:pt idx="80">
                  <c:v>8.26</c:v>
                </c:pt>
                <c:pt idx="81">
                  <c:v>8.86</c:v>
                </c:pt>
                <c:pt idx="82">
                  <c:v>9.4599999999999991</c:v>
                </c:pt>
                <c:pt idx="83">
                  <c:v>10.059999999999999</c:v>
                </c:pt>
              </c:numCache>
            </c:numRef>
          </c:xVal>
          <c:yVal>
            <c:numRef>
              <c:f>Общее!$E$3:$E$86</c:f>
              <c:numCache>
                <c:formatCode>General</c:formatCode>
                <c:ptCount val="84"/>
                <c:pt idx="0">
                  <c:v>1.651</c:v>
                </c:pt>
                <c:pt idx="1">
                  <c:v>1.6519999999999999</c:v>
                </c:pt>
                <c:pt idx="2">
                  <c:v>1.653</c:v>
                </c:pt>
                <c:pt idx="3">
                  <c:v>1.6537999999999999</c:v>
                </c:pt>
                <c:pt idx="4">
                  <c:v>1.6547000000000001</c:v>
                </c:pt>
                <c:pt idx="5">
                  <c:v>1.6555</c:v>
                </c:pt>
                <c:pt idx="6">
                  <c:v>1.6561999999999999</c:v>
                </c:pt>
                <c:pt idx="7">
                  <c:v>1.657</c:v>
                </c:pt>
                <c:pt idx="8">
                  <c:v>1.6577</c:v>
                </c:pt>
                <c:pt idx="9">
                  <c:v>1.6585000000000001</c:v>
                </c:pt>
                <c:pt idx="10">
                  <c:v>1.6592</c:v>
                </c:pt>
                <c:pt idx="11">
                  <c:v>1.6597999999999999</c:v>
                </c:pt>
                <c:pt idx="12">
                  <c:v>1.6605000000000001</c:v>
                </c:pt>
                <c:pt idx="13">
                  <c:v>1.6615</c:v>
                </c:pt>
                <c:pt idx="14">
                  <c:v>1.6621999999999999</c:v>
                </c:pt>
                <c:pt idx="15">
                  <c:v>1.6629</c:v>
                </c:pt>
                <c:pt idx="16">
                  <c:v>1.6633</c:v>
                </c:pt>
                <c:pt idx="17">
                  <c:v>1.6637999999999999</c:v>
                </c:pt>
                <c:pt idx="18">
                  <c:v>1.6642999999999999</c:v>
                </c:pt>
                <c:pt idx="19">
                  <c:v>1.6648000000000001</c:v>
                </c:pt>
                <c:pt idx="20">
                  <c:v>1.6653</c:v>
                </c:pt>
                <c:pt idx="21">
                  <c:v>1.6659999999999999</c:v>
                </c:pt>
                <c:pt idx="22">
                  <c:v>1.6657999999999999</c:v>
                </c:pt>
                <c:pt idx="23">
                  <c:v>1.0068999999999999</c:v>
                </c:pt>
                <c:pt idx="24">
                  <c:v>0.72799999999999998</c:v>
                </c:pt>
                <c:pt idx="25">
                  <c:v>0.54379999999999995</c:v>
                </c:pt>
                <c:pt idx="26">
                  <c:v>0.42020000000000002</c:v>
                </c:pt>
                <c:pt idx="27">
                  <c:v>0.33200000000000002</c:v>
                </c:pt>
                <c:pt idx="28">
                  <c:v>0.26919999999999999</c:v>
                </c:pt>
                <c:pt idx="29">
                  <c:v>0.27260000000000001</c:v>
                </c:pt>
                <c:pt idx="30">
                  <c:v>0.12740000000000001</c:v>
                </c:pt>
                <c:pt idx="31">
                  <c:v>6.2199999999999998E-2</c:v>
                </c:pt>
                <c:pt idx="32">
                  <c:v>2.8000000000000001E-2</c:v>
                </c:pt>
                <c:pt idx="33">
                  <c:v>9.2999999999999992E-3</c:v>
                </c:pt>
                <c:pt idx="34">
                  <c:v>1.6623000000000001</c:v>
                </c:pt>
                <c:pt idx="35">
                  <c:v>1.6459999999999999</c:v>
                </c:pt>
                <c:pt idx="36">
                  <c:v>1.6214999999999999</c:v>
                </c:pt>
                <c:pt idx="37">
                  <c:v>1.5895999999999999</c:v>
                </c:pt>
                <c:pt idx="38">
                  <c:v>1.5512999999999999</c:v>
                </c:pt>
                <c:pt idx="39">
                  <c:v>1.5085</c:v>
                </c:pt>
                <c:pt idx="40">
                  <c:v>1.4611000000000001</c:v>
                </c:pt>
                <c:pt idx="41">
                  <c:v>1.4113</c:v>
                </c:pt>
                <c:pt idx="42">
                  <c:v>1.3601000000000001</c:v>
                </c:pt>
                <c:pt idx="43">
                  <c:v>1.3080000000000001</c:v>
                </c:pt>
                <c:pt idx="44">
                  <c:v>1.256</c:v>
                </c:pt>
                <c:pt idx="45">
                  <c:v>1.2048000000000001</c:v>
                </c:pt>
                <c:pt idx="46">
                  <c:v>1.1546000000000001</c:v>
                </c:pt>
                <c:pt idx="47">
                  <c:v>1.1065</c:v>
                </c:pt>
                <c:pt idx="48">
                  <c:v>1.0599000000000001</c:v>
                </c:pt>
                <c:pt idx="49">
                  <c:v>1.0153000000000001</c:v>
                </c:pt>
                <c:pt idx="50">
                  <c:v>1.669</c:v>
                </c:pt>
                <c:pt idx="51">
                  <c:v>1.6719999999999999</c:v>
                </c:pt>
                <c:pt idx="52">
                  <c:v>1.667</c:v>
                </c:pt>
                <c:pt idx="53">
                  <c:v>1.6545000000000001</c:v>
                </c:pt>
                <c:pt idx="54">
                  <c:v>1.6351</c:v>
                </c:pt>
                <c:pt idx="55">
                  <c:v>1.6105</c:v>
                </c:pt>
                <c:pt idx="56">
                  <c:v>1.5811999999999999</c:v>
                </c:pt>
                <c:pt idx="57">
                  <c:v>1.548</c:v>
                </c:pt>
                <c:pt idx="58">
                  <c:v>1.5126999999999999</c:v>
                </c:pt>
                <c:pt idx="59">
                  <c:v>1.4758</c:v>
                </c:pt>
                <c:pt idx="60">
                  <c:v>1.4378</c:v>
                </c:pt>
                <c:pt idx="61">
                  <c:v>1.3993</c:v>
                </c:pt>
                <c:pt idx="62">
                  <c:v>1.3613999999999999</c:v>
                </c:pt>
                <c:pt idx="63">
                  <c:v>1.3240000000000001</c:v>
                </c:pt>
                <c:pt idx="64">
                  <c:v>1.2866</c:v>
                </c:pt>
                <c:pt idx="65">
                  <c:v>1.2518</c:v>
                </c:pt>
                <c:pt idx="66">
                  <c:v>1.2177</c:v>
                </c:pt>
                <c:pt idx="67">
                  <c:v>1.1843999999999999</c:v>
                </c:pt>
                <c:pt idx="68">
                  <c:v>1.153</c:v>
                </c:pt>
                <c:pt idx="69">
                  <c:v>1.1619999999999999</c:v>
                </c:pt>
                <c:pt idx="70">
                  <c:v>0.91</c:v>
                </c:pt>
                <c:pt idx="71">
                  <c:v>0.75149999999999995</c:v>
                </c:pt>
                <c:pt idx="72">
                  <c:v>0.65</c:v>
                </c:pt>
                <c:pt idx="73">
                  <c:v>0.57569999999999999</c:v>
                </c:pt>
                <c:pt idx="74">
                  <c:v>0.52110000000000001</c:v>
                </c:pt>
                <c:pt idx="75">
                  <c:v>0.47910000000000003</c:v>
                </c:pt>
                <c:pt idx="76">
                  <c:v>0.44579999999999997</c:v>
                </c:pt>
                <c:pt idx="77">
                  <c:v>0.44579999999999997</c:v>
                </c:pt>
                <c:pt idx="78">
                  <c:v>0.37640000000000001</c:v>
                </c:pt>
                <c:pt idx="79">
                  <c:v>0.33460000000000001</c:v>
                </c:pt>
                <c:pt idx="80">
                  <c:v>0.30730000000000002</c:v>
                </c:pt>
                <c:pt idx="81">
                  <c:v>0.28870000000000001</c:v>
                </c:pt>
                <c:pt idx="82">
                  <c:v>0.27460000000000001</c:v>
                </c:pt>
                <c:pt idx="83">
                  <c:v>0.2641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14-474F-AFDB-A5C41A5364E2}"/>
            </c:ext>
          </c:extLst>
        </c:ser>
        <c:ser>
          <c:idx val="2"/>
          <c:order val="2"/>
          <c:tx>
            <c:strRef>
              <c:f>Общее!$F$2</c:f>
              <c:strCache>
                <c:ptCount val="1"/>
                <c:pt idx="0">
                  <c:v>U_R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Общее!$C$3:$C$86</c:f>
              <c:numCache>
                <c:formatCode>General</c:formatCode>
                <c:ptCount val="84"/>
                <c:pt idx="0">
                  <c:v>4.6849999999999996</c:v>
                </c:pt>
                <c:pt idx="1">
                  <c:v>4.6859999999999999</c:v>
                </c:pt>
                <c:pt idx="2">
                  <c:v>4.6870000000000003</c:v>
                </c:pt>
                <c:pt idx="3">
                  <c:v>4.6879999999999997</c:v>
                </c:pt>
                <c:pt idx="4">
                  <c:v>4.6890000000000001</c:v>
                </c:pt>
                <c:pt idx="5">
                  <c:v>4.6900000000000004</c:v>
                </c:pt>
                <c:pt idx="6">
                  <c:v>4.6909999999999998</c:v>
                </c:pt>
                <c:pt idx="7">
                  <c:v>4.6920000000000002</c:v>
                </c:pt>
                <c:pt idx="8">
                  <c:v>4.6929999999999996</c:v>
                </c:pt>
                <c:pt idx="9">
                  <c:v>4.694</c:v>
                </c:pt>
                <c:pt idx="10">
                  <c:v>4.6950000000000003</c:v>
                </c:pt>
                <c:pt idx="11">
                  <c:v>4.6959999999999997</c:v>
                </c:pt>
                <c:pt idx="12">
                  <c:v>4.6970000000000001</c:v>
                </c:pt>
                <c:pt idx="13">
                  <c:v>4.6980000000000004</c:v>
                </c:pt>
                <c:pt idx="14">
                  <c:v>4.6989999999999998</c:v>
                </c:pt>
                <c:pt idx="15">
                  <c:v>4.7</c:v>
                </c:pt>
                <c:pt idx="16">
                  <c:v>4.7009999999999996</c:v>
                </c:pt>
                <c:pt idx="17">
                  <c:v>4.7020000000000097</c:v>
                </c:pt>
                <c:pt idx="18">
                  <c:v>4.7030000000000101</c:v>
                </c:pt>
                <c:pt idx="19">
                  <c:v>4.7040000000000104</c:v>
                </c:pt>
                <c:pt idx="20">
                  <c:v>4.7050000000000098</c:v>
                </c:pt>
                <c:pt idx="21">
                  <c:v>4.7060000000000102</c:v>
                </c:pt>
                <c:pt idx="22">
                  <c:v>4.7070000000000096</c:v>
                </c:pt>
                <c:pt idx="23">
                  <c:v>4.3899999999999997</c:v>
                </c:pt>
                <c:pt idx="24">
                  <c:v>4.2299999999999995</c:v>
                </c:pt>
                <c:pt idx="25">
                  <c:v>4.0699999999999994</c:v>
                </c:pt>
                <c:pt idx="26">
                  <c:v>3.9099999999999993</c:v>
                </c:pt>
                <c:pt idx="27">
                  <c:v>3.7499999999999991</c:v>
                </c:pt>
                <c:pt idx="28">
                  <c:v>3.589999999999999</c:v>
                </c:pt>
                <c:pt idx="29">
                  <c:v>3.6</c:v>
                </c:pt>
                <c:pt idx="30">
                  <c:v>2.95</c:v>
                </c:pt>
                <c:pt idx="31">
                  <c:v>2.3000000000000003</c:v>
                </c:pt>
                <c:pt idx="32">
                  <c:v>1.6500000000000004</c:v>
                </c:pt>
                <c:pt idx="33">
                  <c:v>1.0000000000000004</c:v>
                </c:pt>
                <c:pt idx="34">
                  <c:v>4.694</c:v>
                </c:pt>
                <c:pt idx="35">
                  <c:v>4.6740000000000004</c:v>
                </c:pt>
                <c:pt idx="36">
                  <c:v>4.6539999999999999</c:v>
                </c:pt>
                <c:pt idx="37">
                  <c:v>4.6340000000000003</c:v>
                </c:pt>
                <c:pt idx="38">
                  <c:v>4.6139999999999999</c:v>
                </c:pt>
                <c:pt idx="39">
                  <c:v>4.5940000000000003</c:v>
                </c:pt>
                <c:pt idx="40">
                  <c:v>4.5739999999999998</c:v>
                </c:pt>
                <c:pt idx="41">
                  <c:v>4.5540000000000003</c:v>
                </c:pt>
                <c:pt idx="42">
                  <c:v>4.5339999999999998</c:v>
                </c:pt>
                <c:pt idx="43">
                  <c:v>4.5140000000000002</c:v>
                </c:pt>
                <c:pt idx="44">
                  <c:v>4.4939999999999998</c:v>
                </c:pt>
                <c:pt idx="45">
                  <c:v>4.4740000000000002</c:v>
                </c:pt>
                <c:pt idx="46">
                  <c:v>4.4540000000000104</c:v>
                </c:pt>
                <c:pt idx="47">
                  <c:v>4.4340000000000099</c:v>
                </c:pt>
                <c:pt idx="48">
                  <c:v>4.4140000000000104</c:v>
                </c:pt>
                <c:pt idx="49">
                  <c:v>4.3940000000000099</c:v>
                </c:pt>
                <c:pt idx="50">
                  <c:v>4.7060000000000004</c:v>
                </c:pt>
                <c:pt idx="51">
                  <c:v>4.726</c:v>
                </c:pt>
                <c:pt idx="52">
                  <c:v>4.7459999999999996</c:v>
                </c:pt>
                <c:pt idx="53">
                  <c:v>4.7659999999999991</c:v>
                </c:pt>
                <c:pt idx="54">
                  <c:v>4.7859999999999987</c:v>
                </c:pt>
                <c:pt idx="55">
                  <c:v>4.8059999999999983</c:v>
                </c:pt>
                <c:pt idx="56">
                  <c:v>4.8259999999999978</c:v>
                </c:pt>
                <c:pt idx="57">
                  <c:v>4.8459999999999974</c:v>
                </c:pt>
                <c:pt idx="58">
                  <c:v>4.865999999999997</c:v>
                </c:pt>
                <c:pt idx="59">
                  <c:v>4.8859999999999966</c:v>
                </c:pt>
                <c:pt idx="60">
                  <c:v>4.9059999999999961</c:v>
                </c:pt>
                <c:pt idx="61">
                  <c:v>4.9259999999999957</c:v>
                </c:pt>
                <c:pt idx="62">
                  <c:v>4.9459999999999953</c:v>
                </c:pt>
                <c:pt idx="63">
                  <c:v>4.9659999999999949</c:v>
                </c:pt>
                <c:pt idx="64">
                  <c:v>4.9859999999999944</c:v>
                </c:pt>
                <c:pt idx="65">
                  <c:v>5.005999999999994</c:v>
                </c:pt>
                <c:pt idx="66">
                  <c:v>5.0259999999999936</c:v>
                </c:pt>
                <c:pt idx="67">
                  <c:v>5.0459999999999932</c:v>
                </c:pt>
                <c:pt idx="68">
                  <c:v>5.0659999999999927</c:v>
                </c:pt>
                <c:pt idx="69">
                  <c:v>5.0599999999999996</c:v>
                </c:pt>
                <c:pt idx="70">
                  <c:v>5.26</c:v>
                </c:pt>
                <c:pt idx="71">
                  <c:v>5.46</c:v>
                </c:pt>
                <c:pt idx="72">
                  <c:v>5.66</c:v>
                </c:pt>
                <c:pt idx="73">
                  <c:v>5.86</c:v>
                </c:pt>
                <c:pt idx="74">
                  <c:v>6.0600000000000005</c:v>
                </c:pt>
                <c:pt idx="75">
                  <c:v>6.2600000000000007</c:v>
                </c:pt>
                <c:pt idx="76">
                  <c:v>6.4600000000000009</c:v>
                </c:pt>
                <c:pt idx="77">
                  <c:v>6.46</c:v>
                </c:pt>
                <c:pt idx="78">
                  <c:v>7.06</c:v>
                </c:pt>
                <c:pt idx="79">
                  <c:v>7.6599999999999993</c:v>
                </c:pt>
                <c:pt idx="80">
                  <c:v>8.26</c:v>
                </c:pt>
                <c:pt idx="81">
                  <c:v>8.86</c:v>
                </c:pt>
                <c:pt idx="82">
                  <c:v>9.4599999999999991</c:v>
                </c:pt>
                <c:pt idx="83">
                  <c:v>10.059999999999999</c:v>
                </c:pt>
              </c:numCache>
            </c:numRef>
          </c:xVal>
          <c:yVal>
            <c:numRef>
              <c:f>Общее!$F$3:$F$86</c:f>
              <c:numCache>
                <c:formatCode>General</c:formatCode>
                <c:ptCount val="84"/>
                <c:pt idx="0">
                  <c:v>0.1618</c:v>
                </c:pt>
                <c:pt idx="1">
                  <c:v>0.16209999999999999</c:v>
                </c:pt>
                <c:pt idx="2">
                  <c:v>0.16220000000000001</c:v>
                </c:pt>
                <c:pt idx="3">
                  <c:v>0.16220000000000001</c:v>
                </c:pt>
                <c:pt idx="4">
                  <c:v>0.16239999999999999</c:v>
                </c:pt>
                <c:pt idx="5">
                  <c:v>0.16239999999999999</c:v>
                </c:pt>
                <c:pt idx="6">
                  <c:v>0.16239999999999999</c:v>
                </c:pt>
                <c:pt idx="7">
                  <c:v>0.16250000000000001</c:v>
                </c:pt>
                <c:pt idx="8">
                  <c:v>0.16239999999999999</c:v>
                </c:pt>
                <c:pt idx="9">
                  <c:v>0.16270000000000001</c:v>
                </c:pt>
                <c:pt idx="10">
                  <c:v>0.16259999999999999</c:v>
                </c:pt>
                <c:pt idx="11">
                  <c:v>0.16270000000000001</c:v>
                </c:pt>
                <c:pt idx="12">
                  <c:v>0.1628</c:v>
                </c:pt>
                <c:pt idx="13">
                  <c:v>0.16289999999999999</c:v>
                </c:pt>
                <c:pt idx="14">
                  <c:v>0.16300000000000001</c:v>
                </c:pt>
                <c:pt idx="15">
                  <c:v>0.16300000000000001</c:v>
                </c:pt>
                <c:pt idx="16">
                  <c:v>0.16289999999999999</c:v>
                </c:pt>
                <c:pt idx="17">
                  <c:v>0.16300000000000001</c:v>
                </c:pt>
                <c:pt idx="18">
                  <c:v>0.16300000000000001</c:v>
                </c:pt>
                <c:pt idx="19">
                  <c:v>0.16309999999999999</c:v>
                </c:pt>
                <c:pt idx="20">
                  <c:v>0.16320000000000001</c:v>
                </c:pt>
                <c:pt idx="21">
                  <c:v>0.1633</c:v>
                </c:pt>
                <c:pt idx="22">
                  <c:v>0.16320000000000001</c:v>
                </c:pt>
                <c:pt idx="23">
                  <c:v>0.1042</c:v>
                </c:pt>
                <c:pt idx="24">
                  <c:v>7.8299999999999995E-2</c:v>
                </c:pt>
                <c:pt idx="25">
                  <c:v>6.1199999999999997E-2</c:v>
                </c:pt>
                <c:pt idx="26">
                  <c:v>4.9500000000000002E-2</c:v>
                </c:pt>
                <c:pt idx="27">
                  <c:v>4.1099999999999998E-2</c:v>
                </c:pt>
                <c:pt idx="28">
                  <c:v>3.4799999999999998E-2</c:v>
                </c:pt>
                <c:pt idx="29">
                  <c:v>3.5200000000000002E-2</c:v>
                </c:pt>
                <c:pt idx="30">
                  <c:v>2.0199999999999999E-2</c:v>
                </c:pt>
                <c:pt idx="31">
                  <c:v>1.2699999999999999E-2</c:v>
                </c:pt>
                <c:pt idx="32">
                  <c:v>7.7999999999999996E-3</c:v>
                </c:pt>
                <c:pt idx="33">
                  <c:v>4.0000000000000001E-3</c:v>
                </c:pt>
                <c:pt idx="34">
                  <c:v>0.16300000000000001</c:v>
                </c:pt>
                <c:pt idx="35">
                  <c:v>0.16139999999999999</c:v>
                </c:pt>
                <c:pt idx="36">
                  <c:v>0.15920000000000001</c:v>
                </c:pt>
                <c:pt idx="37">
                  <c:v>0.15659999999999999</c:v>
                </c:pt>
                <c:pt idx="38">
                  <c:v>0.153</c:v>
                </c:pt>
                <c:pt idx="39">
                  <c:v>0.14899999999999999</c:v>
                </c:pt>
                <c:pt idx="40">
                  <c:v>0.14480000000000001</c:v>
                </c:pt>
                <c:pt idx="41">
                  <c:v>0.14050000000000001</c:v>
                </c:pt>
                <c:pt idx="42">
                  <c:v>0.13600000000000001</c:v>
                </c:pt>
                <c:pt idx="43">
                  <c:v>0.13109999999999999</c:v>
                </c:pt>
                <c:pt idx="44">
                  <c:v>0.12659999999999999</c:v>
                </c:pt>
                <c:pt idx="45">
                  <c:v>0.122</c:v>
                </c:pt>
                <c:pt idx="46">
                  <c:v>0.11749999999999999</c:v>
                </c:pt>
                <c:pt idx="47">
                  <c:v>0.11310000000000001</c:v>
                </c:pt>
                <c:pt idx="48">
                  <c:v>0.109</c:v>
                </c:pt>
                <c:pt idx="49">
                  <c:v>0.105</c:v>
                </c:pt>
                <c:pt idx="50">
                  <c:v>0.16350000000000001</c:v>
                </c:pt>
                <c:pt idx="51">
                  <c:v>0.1636</c:v>
                </c:pt>
                <c:pt idx="52">
                  <c:v>0.16300000000000001</c:v>
                </c:pt>
                <c:pt idx="53">
                  <c:v>0.16139999999999999</c:v>
                </c:pt>
                <c:pt idx="54">
                  <c:v>0.1593</c:v>
                </c:pt>
                <c:pt idx="55">
                  <c:v>0.15659999999999999</c:v>
                </c:pt>
                <c:pt idx="56">
                  <c:v>0.15340000000000001</c:v>
                </c:pt>
                <c:pt idx="57">
                  <c:v>0.15</c:v>
                </c:pt>
                <c:pt idx="58">
                  <c:v>0.14599999999999999</c:v>
                </c:pt>
                <c:pt idx="59">
                  <c:v>0.1419</c:v>
                </c:pt>
                <c:pt idx="60">
                  <c:v>0.13800000000000001</c:v>
                </c:pt>
                <c:pt idx="61">
                  <c:v>0.13370000000000001</c:v>
                </c:pt>
                <c:pt idx="62">
                  <c:v>0.12959999999999999</c:v>
                </c:pt>
                <c:pt idx="63">
                  <c:v>0.12540000000000001</c:v>
                </c:pt>
                <c:pt idx="64">
                  <c:v>0.12139999999999999</c:v>
                </c:pt>
                <c:pt idx="65">
                  <c:v>0.11749999999999999</c:v>
                </c:pt>
                <c:pt idx="66">
                  <c:v>0.114</c:v>
                </c:pt>
                <c:pt idx="67">
                  <c:v>0.1104</c:v>
                </c:pt>
                <c:pt idx="68">
                  <c:v>0.107</c:v>
                </c:pt>
                <c:pt idx="69">
                  <c:v>0.108</c:v>
                </c:pt>
                <c:pt idx="70">
                  <c:v>8.0699999999999994E-2</c:v>
                </c:pt>
                <c:pt idx="71">
                  <c:v>6.3500000000000001E-2</c:v>
                </c:pt>
                <c:pt idx="72">
                  <c:v>5.2299999999999999E-2</c:v>
                </c:pt>
                <c:pt idx="73">
                  <c:v>4.4400000000000002E-2</c:v>
                </c:pt>
                <c:pt idx="74">
                  <c:v>3.85E-2</c:v>
                </c:pt>
                <c:pt idx="75">
                  <c:v>3.4099999999999998E-2</c:v>
                </c:pt>
                <c:pt idx="76">
                  <c:v>3.0499999999999999E-2</c:v>
                </c:pt>
                <c:pt idx="77">
                  <c:v>3.0499999999999999E-2</c:v>
                </c:pt>
                <c:pt idx="78">
                  <c:v>2.3E-2</c:v>
                </c:pt>
                <c:pt idx="79">
                  <c:v>1.84E-2</c:v>
                </c:pt>
                <c:pt idx="80">
                  <c:v>1.52E-2</c:v>
                </c:pt>
                <c:pt idx="81">
                  <c:v>1.2999999999999999E-2</c:v>
                </c:pt>
                <c:pt idx="82">
                  <c:v>1.1299999999999999E-2</c:v>
                </c:pt>
                <c:pt idx="83">
                  <c:v>9.9000000000000008E-3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E-4F4B-95E9-198E1D512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628335"/>
        <c:axId val="1095632655"/>
      </c:scatterChart>
      <c:valAx>
        <c:axId val="10956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632655"/>
        <c:crosses val="autoZero"/>
        <c:crossBetween val="midCat"/>
      </c:valAx>
      <c:valAx>
        <c:axId val="10956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62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Лист6!$C$2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Лист6!$B$3:$B$33</c:f>
              <c:numCache>
                <c:formatCode>General</c:formatCode>
                <c:ptCount val="31"/>
                <c:pt idx="0">
                  <c:v>5.0599999999999996</c:v>
                </c:pt>
                <c:pt idx="1">
                  <c:v>5.1599999999999993</c:v>
                </c:pt>
                <c:pt idx="2">
                  <c:v>5.2599999999999989</c:v>
                </c:pt>
                <c:pt idx="3">
                  <c:v>5.3599999999999985</c:v>
                </c:pt>
                <c:pt idx="4">
                  <c:v>5.4599999999999982</c:v>
                </c:pt>
                <c:pt idx="5">
                  <c:v>5.5599999999999978</c:v>
                </c:pt>
                <c:pt idx="6">
                  <c:v>5.6599999999999975</c:v>
                </c:pt>
                <c:pt idx="7">
                  <c:v>5.7599999999999971</c:v>
                </c:pt>
                <c:pt idx="8">
                  <c:v>5.8599999999999968</c:v>
                </c:pt>
                <c:pt idx="9">
                  <c:v>5.9599999999999964</c:v>
                </c:pt>
                <c:pt idx="10">
                  <c:v>6.0599999999999961</c:v>
                </c:pt>
                <c:pt idx="11">
                  <c:v>6.1599999999999957</c:v>
                </c:pt>
                <c:pt idx="12">
                  <c:v>6.2599999999999953</c:v>
                </c:pt>
                <c:pt idx="13">
                  <c:v>6.359999999999995</c:v>
                </c:pt>
                <c:pt idx="14">
                  <c:v>6.4599999999999946</c:v>
                </c:pt>
                <c:pt idx="15">
                  <c:v>6.5599999999999943</c:v>
                </c:pt>
                <c:pt idx="16">
                  <c:v>6.6599999999999939</c:v>
                </c:pt>
                <c:pt idx="17">
                  <c:v>6.7599999999999936</c:v>
                </c:pt>
                <c:pt idx="18">
                  <c:v>6.8599999999999932</c:v>
                </c:pt>
                <c:pt idx="19">
                  <c:v>6.9599999999999929</c:v>
                </c:pt>
                <c:pt idx="20">
                  <c:v>7.0599999999999925</c:v>
                </c:pt>
                <c:pt idx="21">
                  <c:v>7.1599999999999921</c:v>
                </c:pt>
                <c:pt idx="22">
                  <c:v>7.2599999999999918</c:v>
                </c:pt>
                <c:pt idx="23">
                  <c:v>7.3599999999999914</c:v>
                </c:pt>
                <c:pt idx="24">
                  <c:v>7.4599999999999911</c:v>
                </c:pt>
                <c:pt idx="25">
                  <c:v>7.5599999999999907</c:v>
                </c:pt>
                <c:pt idx="26">
                  <c:v>7.6599999999999904</c:v>
                </c:pt>
                <c:pt idx="27">
                  <c:v>7.75999999999999</c:v>
                </c:pt>
                <c:pt idx="28">
                  <c:v>7.8599999999999897</c:v>
                </c:pt>
                <c:pt idx="29">
                  <c:v>7.9599999999999893</c:v>
                </c:pt>
                <c:pt idx="30">
                  <c:v>8.0599999999999898</c:v>
                </c:pt>
              </c:numCache>
            </c:numRef>
          </c:xVal>
          <c:yVal>
            <c:numRef>
              <c:f>Лист6!$C$3:$C$33</c:f>
              <c:numCache>
                <c:formatCode>General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F-45EC-BD6C-CE1AEDA6CD4D}"/>
            </c:ext>
          </c:extLst>
        </c:ser>
        <c:ser>
          <c:idx val="1"/>
          <c:order val="1"/>
          <c:tx>
            <c:strRef>
              <c:f>Лист6!$D$2</c:f>
              <c:strCache>
                <c:ptCount val="1"/>
                <c:pt idx="0">
                  <c:v>U_L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Лист6!$B$3:$B$33</c:f>
              <c:numCache>
                <c:formatCode>General</c:formatCode>
                <c:ptCount val="31"/>
                <c:pt idx="0">
                  <c:v>5.0599999999999996</c:v>
                </c:pt>
                <c:pt idx="1">
                  <c:v>5.1599999999999993</c:v>
                </c:pt>
                <c:pt idx="2">
                  <c:v>5.2599999999999989</c:v>
                </c:pt>
                <c:pt idx="3">
                  <c:v>5.3599999999999985</c:v>
                </c:pt>
                <c:pt idx="4">
                  <c:v>5.4599999999999982</c:v>
                </c:pt>
                <c:pt idx="5">
                  <c:v>5.5599999999999978</c:v>
                </c:pt>
                <c:pt idx="6">
                  <c:v>5.6599999999999975</c:v>
                </c:pt>
                <c:pt idx="7">
                  <c:v>5.7599999999999971</c:v>
                </c:pt>
                <c:pt idx="8">
                  <c:v>5.8599999999999968</c:v>
                </c:pt>
                <c:pt idx="9">
                  <c:v>5.9599999999999964</c:v>
                </c:pt>
                <c:pt idx="10">
                  <c:v>6.0599999999999961</c:v>
                </c:pt>
                <c:pt idx="11">
                  <c:v>6.1599999999999957</c:v>
                </c:pt>
                <c:pt idx="12">
                  <c:v>6.2599999999999953</c:v>
                </c:pt>
                <c:pt idx="13">
                  <c:v>6.359999999999995</c:v>
                </c:pt>
                <c:pt idx="14">
                  <c:v>6.4599999999999946</c:v>
                </c:pt>
                <c:pt idx="15">
                  <c:v>6.5599999999999943</c:v>
                </c:pt>
                <c:pt idx="16">
                  <c:v>6.6599999999999939</c:v>
                </c:pt>
                <c:pt idx="17">
                  <c:v>6.7599999999999936</c:v>
                </c:pt>
                <c:pt idx="18">
                  <c:v>6.8599999999999932</c:v>
                </c:pt>
                <c:pt idx="19">
                  <c:v>6.9599999999999929</c:v>
                </c:pt>
                <c:pt idx="20">
                  <c:v>7.0599999999999925</c:v>
                </c:pt>
                <c:pt idx="21">
                  <c:v>7.1599999999999921</c:v>
                </c:pt>
                <c:pt idx="22">
                  <c:v>7.2599999999999918</c:v>
                </c:pt>
                <c:pt idx="23">
                  <c:v>7.3599999999999914</c:v>
                </c:pt>
                <c:pt idx="24">
                  <c:v>7.4599999999999911</c:v>
                </c:pt>
                <c:pt idx="25">
                  <c:v>7.5599999999999907</c:v>
                </c:pt>
                <c:pt idx="26">
                  <c:v>7.6599999999999904</c:v>
                </c:pt>
                <c:pt idx="27">
                  <c:v>7.75999999999999</c:v>
                </c:pt>
                <c:pt idx="28">
                  <c:v>7.8599999999999897</c:v>
                </c:pt>
                <c:pt idx="29">
                  <c:v>7.9599999999999893</c:v>
                </c:pt>
                <c:pt idx="30">
                  <c:v>8.0599999999999898</c:v>
                </c:pt>
              </c:numCache>
            </c:numRef>
          </c:xVal>
          <c:yVal>
            <c:numRef>
              <c:f>Лист6!$D$3:$D$33</c:f>
              <c:numCache>
                <c:formatCode>General</c:formatCode>
                <c:ptCount val="31"/>
                <c:pt idx="0">
                  <c:v>1.1620999999999999</c:v>
                </c:pt>
                <c:pt idx="1">
                  <c:v>1.0214000000000001</c:v>
                </c:pt>
                <c:pt idx="2">
                  <c:v>0.90990000000000004</c:v>
                </c:pt>
                <c:pt idx="3">
                  <c:v>0.82199999999999995</c:v>
                </c:pt>
                <c:pt idx="4">
                  <c:v>0.75149999999999995</c:v>
                </c:pt>
                <c:pt idx="5">
                  <c:v>0.7</c:v>
                </c:pt>
                <c:pt idx="6">
                  <c:v>0.65</c:v>
                </c:pt>
                <c:pt idx="7">
                  <c:v>0.61</c:v>
                </c:pt>
                <c:pt idx="8">
                  <c:v>0.57999999999999996</c:v>
                </c:pt>
                <c:pt idx="9">
                  <c:v>0.55000000000000004</c:v>
                </c:pt>
                <c:pt idx="10">
                  <c:v>0.52</c:v>
                </c:pt>
                <c:pt idx="11">
                  <c:v>0.5</c:v>
                </c:pt>
                <c:pt idx="12">
                  <c:v>0.48</c:v>
                </c:pt>
                <c:pt idx="13">
                  <c:v>0.46</c:v>
                </c:pt>
                <c:pt idx="14">
                  <c:v>0.45</c:v>
                </c:pt>
                <c:pt idx="15">
                  <c:v>0.43</c:v>
                </c:pt>
                <c:pt idx="16">
                  <c:v>0.42</c:v>
                </c:pt>
                <c:pt idx="17">
                  <c:v>0.41</c:v>
                </c:pt>
                <c:pt idx="18">
                  <c:v>0.4</c:v>
                </c:pt>
                <c:pt idx="19">
                  <c:v>0.39</c:v>
                </c:pt>
                <c:pt idx="20">
                  <c:v>0.39</c:v>
                </c:pt>
                <c:pt idx="21">
                  <c:v>0.38</c:v>
                </c:pt>
                <c:pt idx="22">
                  <c:v>0.36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F-45EC-BD6C-CE1AEDA6C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934623"/>
        <c:axId val="980240191"/>
      </c:scatterChart>
      <c:valAx>
        <c:axId val="110993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40191"/>
        <c:crosses val="autoZero"/>
        <c:crossBetween val="midCat"/>
      </c:valAx>
      <c:valAx>
        <c:axId val="98024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3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Лист6!$J$2</c:f>
              <c:strCache>
                <c:ptCount val="1"/>
                <c:pt idx="0">
                  <c:v>U_C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Лист6!$I$3:$I$10</c:f>
              <c:numCache>
                <c:formatCode>General</c:formatCode>
                <c:ptCount val="8"/>
                <c:pt idx="0">
                  <c:v>5.0599999999999996</c:v>
                </c:pt>
                <c:pt idx="1">
                  <c:v>5.26</c:v>
                </c:pt>
                <c:pt idx="2">
                  <c:v>5.46</c:v>
                </c:pt>
                <c:pt idx="3">
                  <c:v>5.66</c:v>
                </c:pt>
                <c:pt idx="4">
                  <c:v>5.86</c:v>
                </c:pt>
                <c:pt idx="5">
                  <c:v>6.0600000000000005</c:v>
                </c:pt>
                <c:pt idx="6">
                  <c:v>6.2600000000000007</c:v>
                </c:pt>
                <c:pt idx="7">
                  <c:v>6.4600000000000009</c:v>
                </c:pt>
              </c:numCache>
            </c:numRef>
          </c:xVal>
          <c:yVal>
            <c:numRef>
              <c:f>Лист6!$J$3:$J$10</c:f>
              <c:numCache>
                <c:formatCode>General</c:formatCode>
                <c:ptCount val="8"/>
                <c:pt idx="0">
                  <c:v>1.0065</c:v>
                </c:pt>
                <c:pt idx="1">
                  <c:v>0.73660000000000003</c:v>
                </c:pt>
                <c:pt idx="2">
                  <c:v>0.5675</c:v>
                </c:pt>
                <c:pt idx="3">
                  <c:v>0.45660000000000001</c:v>
                </c:pt>
                <c:pt idx="4">
                  <c:v>0.37930000000000003</c:v>
                </c:pt>
                <c:pt idx="5">
                  <c:v>0.32250000000000001</c:v>
                </c:pt>
                <c:pt idx="6">
                  <c:v>0.2787</c:v>
                </c:pt>
                <c:pt idx="7">
                  <c:v>0.2445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0-4BEE-990D-FBD098703740}"/>
            </c:ext>
          </c:extLst>
        </c:ser>
        <c:ser>
          <c:idx val="1"/>
          <c:order val="1"/>
          <c:tx>
            <c:strRef>
              <c:f>Лист6!$K$2</c:f>
              <c:strCache>
                <c:ptCount val="1"/>
                <c:pt idx="0">
                  <c:v>U_L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Лист6!$I$3:$I$10</c:f>
              <c:numCache>
                <c:formatCode>General</c:formatCode>
                <c:ptCount val="8"/>
                <c:pt idx="0">
                  <c:v>5.0599999999999996</c:v>
                </c:pt>
                <c:pt idx="1">
                  <c:v>5.26</c:v>
                </c:pt>
                <c:pt idx="2">
                  <c:v>5.46</c:v>
                </c:pt>
                <c:pt idx="3">
                  <c:v>5.66</c:v>
                </c:pt>
                <c:pt idx="4">
                  <c:v>5.86</c:v>
                </c:pt>
                <c:pt idx="5">
                  <c:v>6.0600000000000005</c:v>
                </c:pt>
                <c:pt idx="6">
                  <c:v>6.2600000000000007</c:v>
                </c:pt>
                <c:pt idx="7">
                  <c:v>6.4600000000000009</c:v>
                </c:pt>
              </c:numCache>
            </c:numRef>
          </c:xVal>
          <c:yVal>
            <c:numRef>
              <c:f>Лист6!$K$3:$K$10</c:f>
              <c:numCache>
                <c:formatCode>General</c:formatCode>
                <c:ptCount val="8"/>
                <c:pt idx="0">
                  <c:v>1.1619999999999999</c:v>
                </c:pt>
                <c:pt idx="1">
                  <c:v>0.91</c:v>
                </c:pt>
                <c:pt idx="2">
                  <c:v>0.75149999999999995</c:v>
                </c:pt>
                <c:pt idx="3">
                  <c:v>0.65</c:v>
                </c:pt>
                <c:pt idx="4">
                  <c:v>0.57569999999999999</c:v>
                </c:pt>
                <c:pt idx="5">
                  <c:v>0.52110000000000001</c:v>
                </c:pt>
                <c:pt idx="6">
                  <c:v>0.47910000000000003</c:v>
                </c:pt>
                <c:pt idx="7">
                  <c:v>0.44579999999999997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60-4BEE-990D-FBD098703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824511"/>
        <c:axId val="1275817311"/>
      </c:scatterChart>
      <c:valAx>
        <c:axId val="127582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817311"/>
        <c:crosses val="autoZero"/>
        <c:crossBetween val="midCat"/>
      </c:valAx>
      <c:valAx>
        <c:axId val="127581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82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2</xdr:row>
      <xdr:rowOff>71437</xdr:rowOff>
    </xdr:from>
    <xdr:to>
      <xdr:col>27</xdr:col>
      <xdr:colOff>323850</xdr:colOff>
      <xdr:row>32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E2D08D-1F24-E96C-A667-F4F1169FA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461374</xdr:colOff>
      <xdr:row>1</xdr:row>
      <xdr:rowOff>101253</xdr:rowOff>
    </xdr:from>
    <xdr:to>
      <xdr:col>36</xdr:col>
      <xdr:colOff>48146</xdr:colOff>
      <xdr:row>24</xdr:row>
      <xdr:rowOff>134590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A55DD1-B60C-8FFE-9B39-C4E368636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26096</xdr:colOff>
      <xdr:row>26</xdr:row>
      <xdr:rowOff>0</xdr:rowOff>
    </xdr:from>
    <xdr:to>
      <xdr:col>35</xdr:col>
      <xdr:colOff>574110</xdr:colOff>
      <xdr:row>51</xdr:row>
      <xdr:rowOff>169622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F989048-3882-DE4B-182B-60DD0DDB9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414911</xdr:colOff>
      <xdr:row>2</xdr:row>
      <xdr:rowOff>54791</xdr:rowOff>
    </xdr:from>
    <xdr:to>
      <xdr:col>44</xdr:col>
      <xdr:colOff>1683</xdr:colOff>
      <xdr:row>25</xdr:row>
      <xdr:rowOff>88128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FE06E9-B1C5-4D54-B72C-7D0138B72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390525</xdr:colOff>
      <xdr:row>2</xdr:row>
      <xdr:rowOff>100011</xdr:rowOff>
    </xdr:from>
    <xdr:to>
      <xdr:col>33</xdr:col>
      <xdr:colOff>470512</xdr:colOff>
      <xdr:row>19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F6F7D95-D966-0DDF-49FC-3586B1E59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351966</xdr:colOff>
      <xdr:row>19</xdr:row>
      <xdr:rowOff>169958</xdr:rowOff>
    </xdr:from>
    <xdr:to>
      <xdr:col>33</xdr:col>
      <xdr:colOff>424609</xdr:colOff>
      <xdr:row>39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4A3845B-966D-D4A1-626F-5AA8B437C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102973</xdr:colOff>
      <xdr:row>1</xdr:row>
      <xdr:rowOff>119061</xdr:rowOff>
    </xdr:from>
    <xdr:to>
      <xdr:col>47</xdr:col>
      <xdr:colOff>25742</xdr:colOff>
      <xdr:row>53</xdr:row>
      <xdr:rowOff>167331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E1A6BC-4FE3-5FEB-D2C8-4D45FDD3F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247649</xdr:colOff>
      <xdr:row>25</xdr:row>
      <xdr:rowOff>138111</xdr:rowOff>
    </xdr:from>
    <xdr:to>
      <xdr:col>29</xdr:col>
      <xdr:colOff>447674</xdr:colOff>
      <xdr:row>47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2029E8-FC71-79FF-C2D5-E6DD289B2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66675</xdr:colOff>
      <xdr:row>3</xdr:row>
      <xdr:rowOff>4762</xdr:rowOff>
    </xdr:from>
    <xdr:to>
      <xdr:col>25</xdr:col>
      <xdr:colOff>371475</xdr:colOff>
      <xdr:row>17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61BAD87-BBD7-0F35-B817-E9B9892D1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15ED-B954-4734-9E45-A1212224EEE4}">
  <dimension ref="A2:G19"/>
  <sheetViews>
    <sheetView workbookViewId="0">
      <selection activeCell="C38" sqref="C38"/>
    </sheetView>
  </sheetViews>
  <sheetFormatPr defaultRowHeight="15" x14ac:dyDescent="0.25"/>
  <cols>
    <col min="1" max="16384" width="9.140625" style="2"/>
  </cols>
  <sheetData>
    <row r="2" spans="1:7" x14ac:dyDescent="0.25">
      <c r="A2" s="1" t="s">
        <v>16</v>
      </c>
      <c r="B2" s="3">
        <v>0</v>
      </c>
      <c r="C2" s="3">
        <v>0.02</v>
      </c>
      <c r="D2" s="3">
        <v>0.05</v>
      </c>
      <c r="E2" s="3">
        <v>0.1</v>
      </c>
      <c r="F2" s="3">
        <v>0.23</v>
      </c>
      <c r="G2" s="3">
        <v>0.5</v>
      </c>
    </row>
    <row r="3" spans="1:7" x14ac:dyDescent="0.25">
      <c r="A3" s="1" t="s">
        <v>0</v>
      </c>
      <c r="B3" s="3">
        <v>11.4</v>
      </c>
      <c r="C3" s="3">
        <v>11.4</v>
      </c>
      <c r="D3" s="3">
        <v>11.4</v>
      </c>
      <c r="E3" s="3">
        <v>11.4</v>
      </c>
      <c r="F3" s="3">
        <v>11.4</v>
      </c>
      <c r="G3" s="3">
        <v>11.4</v>
      </c>
    </row>
    <row r="4" spans="1:7" x14ac:dyDescent="0.25">
      <c r="A4" s="1" t="s">
        <v>1</v>
      </c>
      <c r="B4" s="3">
        <v>10.7</v>
      </c>
      <c r="C4" s="3">
        <v>10.6</v>
      </c>
      <c r="D4" s="3">
        <v>10.4</v>
      </c>
      <c r="E4" s="3">
        <v>10.1</v>
      </c>
      <c r="F4" s="3">
        <v>9.36</v>
      </c>
      <c r="G4" s="3">
        <v>8</v>
      </c>
    </row>
    <row r="5" spans="1:7" x14ac:dyDescent="0.25">
      <c r="A5" s="1" t="s">
        <v>2</v>
      </c>
      <c r="B5" s="3">
        <v>10</v>
      </c>
      <c r="C5" s="3">
        <v>9.84</v>
      </c>
      <c r="D5" s="3">
        <v>9.44</v>
      </c>
      <c r="E5" s="3">
        <v>8.8800000000000008</v>
      </c>
      <c r="F5" s="3">
        <v>7.68</v>
      </c>
      <c r="G5" s="3">
        <v>5.6</v>
      </c>
    </row>
    <row r="6" spans="1:7" x14ac:dyDescent="0.25">
      <c r="A6" s="1" t="s">
        <v>3</v>
      </c>
      <c r="B6" s="3">
        <v>9.36</v>
      </c>
      <c r="C6" s="3">
        <v>9.0399999999999991</v>
      </c>
      <c r="D6" s="3">
        <v>8.56</v>
      </c>
      <c r="E6" s="3">
        <v>7.76</v>
      </c>
      <c r="F6" s="3">
        <v>6.24</v>
      </c>
      <c r="G6" s="3">
        <v>3.92</v>
      </c>
    </row>
    <row r="7" spans="1:7" x14ac:dyDescent="0.25">
      <c r="A7" s="1" t="s">
        <v>4</v>
      </c>
      <c r="B7" s="3">
        <v>8.64</v>
      </c>
      <c r="C7" s="3">
        <v>8.4</v>
      </c>
      <c r="D7" s="3">
        <v>7.76</v>
      </c>
      <c r="E7" s="3">
        <v>6.88</v>
      </c>
      <c r="F7" s="3">
        <v>5.04</v>
      </c>
      <c r="G7" s="3">
        <v>2.72</v>
      </c>
    </row>
    <row r="8" spans="1:7" x14ac:dyDescent="0.25">
      <c r="A8" s="1" t="s">
        <v>5</v>
      </c>
      <c r="B8" s="3">
        <v>8.08</v>
      </c>
      <c r="C8" s="3">
        <v>7.68</v>
      </c>
      <c r="D8" s="3">
        <v>6.96</v>
      </c>
      <c r="E8" s="3">
        <v>6.08</v>
      </c>
      <c r="F8" s="3">
        <v>4.16</v>
      </c>
      <c r="G8" s="3"/>
    </row>
    <row r="9" spans="1:7" x14ac:dyDescent="0.25">
      <c r="A9" s="1" t="s">
        <v>6</v>
      </c>
      <c r="B9" s="3">
        <v>7.6</v>
      </c>
      <c r="C9" s="3">
        <v>7.12</v>
      </c>
      <c r="D9" s="3">
        <v>6.24</v>
      </c>
      <c r="E9" s="3">
        <v>5.36</v>
      </c>
      <c r="F9" s="3">
        <v>3.36</v>
      </c>
      <c r="G9" s="3"/>
    </row>
    <row r="10" spans="1:7" x14ac:dyDescent="0.25">
      <c r="A10" s="1" t="s">
        <v>7</v>
      </c>
      <c r="B10" s="3">
        <v>7.04</v>
      </c>
      <c r="C10" s="3">
        <v>6.48</v>
      </c>
      <c r="D10" s="3">
        <v>5.68</v>
      </c>
      <c r="E10" s="3">
        <v>4.6399999999999997</v>
      </c>
      <c r="F10" s="3"/>
      <c r="G10" s="3"/>
    </row>
    <row r="11" spans="1:7" x14ac:dyDescent="0.25">
      <c r="A11" s="1" t="s">
        <v>8</v>
      </c>
      <c r="B11" s="3">
        <v>6.64</v>
      </c>
      <c r="C11" s="3">
        <v>6</v>
      </c>
      <c r="D11" s="3">
        <v>5.2</v>
      </c>
      <c r="E11" s="3">
        <v>4.08</v>
      </c>
      <c r="F11" s="3"/>
      <c r="G11" s="3"/>
    </row>
    <row r="12" spans="1:7" x14ac:dyDescent="0.25">
      <c r="A12" s="1" t="s">
        <v>9</v>
      </c>
      <c r="B12" s="3">
        <v>6.16</v>
      </c>
      <c r="C12" s="3">
        <v>5.6</v>
      </c>
      <c r="D12" s="3">
        <v>4.72</v>
      </c>
      <c r="E12" s="3">
        <v>3.6</v>
      </c>
      <c r="F12" s="3"/>
      <c r="G12" s="3"/>
    </row>
    <row r="13" spans="1:7" x14ac:dyDescent="0.25">
      <c r="A13" s="1" t="s">
        <v>10</v>
      </c>
      <c r="B13" s="3">
        <v>5.76</v>
      </c>
      <c r="C13" s="3">
        <v>5.2</v>
      </c>
      <c r="D13" s="3">
        <v>4.24</v>
      </c>
      <c r="E13" s="3"/>
      <c r="F13" s="3"/>
      <c r="G13" s="3"/>
    </row>
    <row r="14" spans="1:7" x14ac:dyDescent="0.25">
      <c r="A14" s="1" t="s">
        <v>11</v>
      </c>
      <c r="B14" s="3">
        <v>5.36</v>
      </c>
      <c r="C14" s="3">
        <v>4.8</v>
      </c>
      <c r="D14" s="3">
        <v>3.84</v>
      </c>
      <c r="E14" s="3"/>
      <c r="F14" s="3"/>
      <c r="G14" s="3"/>
    </row>
    <row r="15" spans="1:7" x14ac:dyDescent="0.25">
      <c r="A15" s="1" t="s">
        <v>12</v>
      </c>
      <c r="B15" s="3">
        <v>4.96</v>
      </c>
      <c r="C15" s="3">
        <v>4.4000000000000004</v>
      </c>
      <c r="D15" s="3">
        <v>3.44</v>
      </c>
      <c r="E15" s="3"/>
      <c r="F15" s="3"/>
      <c r="G15" s="3"/>
    </row>
    <row r="16" spans="1:7" x14ac:dyDescent="0.25">
      <c r="A16" s="1" t="s">
        <v>13</v>
      </c>
      <c r="B16" s="3">
        <v>4.4000000000000004</v>
      </c>
      <c r="C16" s="3">
        <v>4.08</v>
      </c>
      <c r="D16" s="3"/>
      <c r="E16" s="3"/>
      <c r="F16" s="3"/>
      <c r="G16" s="3"/>
    </row>
    <row r="17" spans="1:7" x14ac:dyDescent="0.25">
      <c r="A17" s="1" t="s">
        <v>14</v>
      </c>
      <c r="B17" s="3">
        <v>4.08</v>
      </c>
      <c r="C17" s="3">
        <v>3.76</v>
      </c>
      <c r="D17" s="3"/>
      <c r="E17" s="3"/>
      <c r="F17" s="3"/>
      <c r="G17" s="3"/>
    </row>
    <row r="18" spans="1:7" x14ac:dyDescent="0.25">
      <c r="A18" s="1" t="s">
        <v>15</v>
      </c>
      <c r="B18" s="3">
        <v>3.84</v>
      </c>
      <c r="C18" s="3">
        <v>3.44</v>
      </c>
      <c r="D18" s="3"/>
      <c r="E18" s="3"/>
      <c r="F18" s="3"/>
      <c r="G18" s="3"/>
    </row>
    <row r="19" spans="1:7" x14ac:dyDescent="0.25">
      <c r="A19" s="1" t="s">
        <v>17</v>
      </c>
      <c r="B19" s="3">
        <v>3.6</v>
      </c>
      <c r="C19" s="3"/>
      <c r="D19" s="3"/>
      <c r="E19" s="3"/>
      <c r="F19" s="3"/>
      <c r="G19" s="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A2B6-CC71-440A-B44D-75C9EB3E6ACC}">
  <dimension ref="B1:S37"/>
  <sheetViews>
    <sheetView zoomScale="73" workbookViewId="0">
      <selection activeCell="M13" sqref="A1:XFD1048576"/>
    </sheetView>
  </sheetViews>
  <sheetFormatPr defaultRowHeight="15" x14ac:dyDescent="0.25"/>
  <cols>
    <col min="1" max="8" width="9.140625" style="2"/>
    <col min="9" max="10" width="10.28515625" style="2" bestFit="1" customWidth="1"/>
    <col min="11" max="12" width="9.140625" style="2"/>
    <col min="13" max="13" width="12.85546875" style="2" customWidth="1"/>
    <col min="14" max="16384" width="9.140625" style="2"/>
  </cols>
  <sheetData>
    <row r="1" spans="2:19" x14ac:dyDescent="0.25">
      <c r="S1" s="2">
        <v>3</v>
      </c>
    </row>
    <row r="2" spans="2:19" x14ac:dyDescent="0.25">
      <c r="B2" s="2" t="s">
        <v>21</v>
      </c>
      <c r="C2" s="2" t="s">
        <v>19</v>
      </c>
      <c r="D2" s="2" t="s">
        <v>20</v>
      </c>
      <c r="H2" s="2" t="s">
        <v>18</v>
      </c>
      <c r="I2" s="2" t="s">
        <v>19</v>
      </c>
      <c r="J2" s="2" t="s">
        <v>20</v>
      </c>
      <c r="K2" s="2" t="s">
        <v>28</v>
      </c>
      <c r="N2" s="2" t="s">
        <v>27</v>
      </c>
      <c r="P2" s="2" t="s">
        <v>18</v>
      </c>
      <c r="Q2" s="2" t="s">
        <v>19</v>
      </c>
      <c r="R2" s="2" t="s">
        <v>20</v>
      </c>
      <c r="S2" s="2" t="s">
        <v>28</v>
      </c>
    </row>
    <row r="3" spans="2:19" x14ac:dyDescent="0.25">
      <c r="B3" s="2">
        <v>4.782</v>
      </c>
      <c r="C3" s="2">
        <v>1.8108</v>
      </c>
      <c r="D3" s="2" t="s">
        <v>22</v>
      </c>
      <c r="H3" s="2">
        <v>4.6849999999999996</v>
      </c>
      <c r="I3" s="2">
        <v>1.663</v>
      </c>
      <c r="J3" s="2">
        <v>1.651</v>
      </c>
      <c r="K3" s="2">
        <v>0.1618</v>
      </c>
      <c r="M3" s="2" t="s">
        <v>23</v>
      </c>
      <c r="N3" s="2">
        <f>MAX(I3:I37)</f>
        <v>1.6636</v>
      </c>
      <c r="P3" s="2">
        <f>H3</f>
        <v>4.6849999999999996</v>
      </c>
      <c r="Q3" s="2">
        <f>ROUND(I3,$S$1)</f>
        <v>1.663</v>
      </c>
      <c r="R3" s="2">
        <f t="shared" ref="R3:S18" si="0">ROUND(J3,$S$1)</f>
        <v>1.651</v>
      </c>
      <c r="S3" s="2">
        <f t="shared" si="0"/>
        <v>0.16200000000000001</v>
      </c>
    </row>
    <row r="4" spans="2:19" x14ac:dyDescent="0.25">
      <c r="B4" s="2">
        <v>4.8159999999999998</v>
      </c>
      <c r="C4" s="2" t="s">
        <v>22</v>
      </c>
      <c r="D4" s="2">
        <v>1.8176000000000001</v>
      </c>
      <c r="H4" s="2">
        <v>4.6859999999999999</v>
      </c>
      <c r="I4" s="2">
        <v>1.6632</v>
      </c>
      <c r="J4" s="2">
        <v>1.6519999999999999</v>
      </c>
      <c r="K4" s="2">
        <v>0.16209999999999999</v>
      </c>
      <c r="M4" s="2" t="s">
        <v>24</v>
      </c>
      <c r="N4" s="2">
        <f>MAX(J3:J37)</f>
        <v>1.6659999999999999</v>
      </c>
      <c r="P4" s="2">
        <f t="shared" ref="P4:P25" si="1">H4</f>
        <v>4.6859999999999999</v>
      </c>
      <c r="Q4" s="2">
        <f t="shared" ref="Q4:Q25" si="2">ROUND(I4,$S$1)</f>
        <v>1.663</v>
      </c>
      <c r="R4" s="2">
        <f t="shared" si="0"/>
        <v>1.6519999999999999</v>
      </c>
      <c r="S4" s="2">
        <f t="shared" si="0"/>
        <v>0.16200000000000001</v>
      </c>
    </row>
    <row r="5" spans="2:19" x14ac:dyDescent="0.25">
      <c r="H5" s="2">
        <v>4.6870000000000003</v>
      </c>
      <c r="I5" s="2">
        <v>1.6633</v>
      </c>
      <c r="J5" s="2">
        <v>1.653</v>
      </c>
      <c r="K5" s="2">
        <v>0.16220000000000001</v>
      </c>
      <c r="P5" s="2">
        <f t="shared" si="1"/>
        <v>4.6870000000000003</v>
      </c>
      <c r="Q5" s="2">
        <f t="shared" si="2"/>
        <v>1.663</v>
      </c>
      <c r="R5" s="2">
        <f t="shared" si="0"/>
        <v>1.653</v>
      </c>
      <c r="S5" s="2">
        <f t="shared" si="0"/>
        <v>0.16200000000000001</v>
      </c>
    </row>
    <row r="6" spans="2:19" x14ac:dyDescent="0.25">
      <c r="H6" s="2">
        <v>4.6879999999999997</v>
      </c>
      <c r="I6" s="2">
        <v>1.6634</v>
      </c>
      <c r="J6" s="2">
        <v>1.6537999999999999</v>
      </c>
      <c r="K6" s="2">
        <v>0.16220000000000001</v>
      </c>
      <c r="P6" s="2">
        <f t="shared" si="1"/>
        <v>4.6879999999999997</v>
      </c>
      <c r="Q6" s="2">
        <f t="shared" si="2"/>
        <v>1.663</v>
      </c>
      <c r="R6" s="2">
        <f t="shared" si="0"/>
        <v>1.6539999999999999</v>
      </c>
      <c r="S6" s="2">
        <f t="shared" si="0"/>
        <v>0.16200000000000001</v>
      </c>
    </row>
    <row r="7" spans="2:19" x14ac:dyDescent="0.25">
      <c r="H7" s="2">
        <v>4.6890000000000001</v>
      </c>
      <c r="I7" s="2">
        <v>1.6634</v>
      </c>
      <c r="J7" s="2">
        <v>1.6547000000000001</v>
      </c>
      <c r="K7" s="2">
        <v>0.16239999999999999</v>
      </c>
      <c r="M7" s="2" t="s">
        <v>25</v>
      </c>
      <c r="N7" s="2">
        <f>0.7*N3</f>
        <v>1.16452</v>
      </c>
      <c r="P7" s="2">
        <f t="shared" si="1"/>
        <v>4.6890000000000001</v>
      </c>
      <c r="Q7" s="2">
        <f t="shared" si="2"/>
        <v>1.663</v>
      </c>
      <c r="R7" s="2">
        <f t="shared" si="0"/>
        <v>1.655</v>
      </c>
      <c r="S7" s="2">
        <f t="shared" si="0"/>
        <v>0.16200000000000001</v>
      </c>
    </row>
    <row r="8" spans="2:19" x14ac:dyDescent="0.25">
      <c r="C8" s="2">
        <v>1.6636</v>
      </c>
      <c r="D8" s="2" t="s">
        <v>22</v>
      </c>
      <c r="H8" s="2">
        <v>4.6900000000000004</v>
      </c>
      <c r="I8" s="2">
        <v>1.6635</v>
      </c>
      <c r="J8" s="2">
        <v>1.6555</v>
      </c>
      <c r="K8" s="2">
        <v>0.16239999999999999</v>
      </c>
      <c r="M8" s="2" t="s">
        <v>26</v>
      </c>
      <c r="N8" s="2">
        <f>0.7*N4</f>
        <v>1.1661999999999999</v>
      </c>
      <c r="P8" s="2">
        <f t="shared" si="1"/>
        <v>4.6900000000000004</v>
      </c>
      <c r="Q8" s="2">
        <f t="shared" si="2"/>
        <v>1.6639999999999999</v>
      </c>
      <c r="R8" s="2">
        <f t="shared" si="0"/>
        <v>1.6559999999999999</v>
      </c>
      <c r="S8" s="2">
        <f t="shared" si="0"/>
        <v>0.16200000000000001</v>
      </c>
    </row>
    <row r="9" spans="2:19" x14ac:dyDescent="0.25">
      <c r="H9" s="2">
        <v>4.6909999999999998</v>
      </c>
      <c r="I9" s="2">
        <v>1.6635</v>
      </c>
      <c r="J9" s="2">
        <v>1.6561999999999999</v>
      </c>
      <c r="K9" s="2">
        <v>0.16239999999999999</v>
      </c>
      <c r="P9" s="2">
        <f t="shared" si="1"/>
        <v>4.6909999999999998</v>
      </c>
      <c r="Q9" s="2">
        <f t="shared" si="2"/>
        <v>1.6639999999999999</v>
      </c>
      <c r="R9" s="2">
        <f t="shared" si="0"/>
        <v>1.6559999999999999</v>
      </c>
      <c r="S9" s="2">
        <f t="shared" si="0"/>
        <v>0.16200000000000001</v>
      </c>
    </row>
    <row r="10" spans="2:19" x14ac:dyDescent="0.25">
      <c r="H10" s="2">
        <v>4.6920000000000002</v>
      </c>
      <c r="I10" s="2">
        <v>1.6635</v>
      </c>
      <c r="J10" s="2">
        <v>1.657</v>
      </c>
      <c r="K10" s="2">
        <v>0.16250000000000001</v>
      </c>
      <c r="P10" s="2">
        <f t="shared" si="1"/>
        <v>4.6920000000000002</v>
      </c>
      <c r="Q10" s="2">
        <f t="shared" si="2"/>
        <v>1.6639999999999999</v>
      </c>
      <c r="R10" s="2">
        <f t="shared" si="0"/>
        <v>1.657</v>
      </c>
      <c r="S10" s="2">
        <f t="shared" si="0"/>
        <v>0.16300000000000001</v>
      </c>
    </row>
    <row r="11" spans="2:19" x14ac:dyDescent="0.25">
      <c r="H11" s="2">
        <v>4.6929999999999996</v>
      </c>
      <c r="I11" s="2">
        <v>1.6635</v>
      </c>
      <c r="J11" s="2">
        <v>1.6577</v>
      </c>
      <c r="K11" s="2">
        <v>0.16239999999999999</v>
      </c>
      <c r="P11" s="2">
        <f t="shared" si="1"/>
        <v>4.6929999999999996</v>
      </c>
      <c r="Q11" s="2">
        <f t="shared" si="2"/>
        <v>1.6639999999999999</v>
      </c>
      <c r="R11" s="2">
        <f t="shared" si="0"/>
        <v>1.6579999999999999</v>
      </c>
      <c r="S11" s="2">
        <f t="shared" si="0"/>
        <v>0.16200000000000001</v>
      </c>
    </row>
    <row r="12" spans="2:19" x14ac:dyDescent="0.25">
      <c r="H12" s="2">
        <v>4.694</v>
      </c>
      <c r="I12" s="2">
        <v>1.6636</v>
      </c>
      <c r="J12" s="2">
        <v>1.6585000000000001</v>
      </c>
      <c r="K12" s="2">
        <v>0.16270000000000001</v>
      </c>
      <c r="P12" s="2">
        <f t="shared" si="1"/>
        <v>4.694</v>
      </c>
      <c r="Q12" s="2">
        <f t="shared" si="2"/>
        <v>1.6639999999999999</v>
      </c>
      <c r="R12" s="2">
        <f t="shared" si="0"/>
        <v>1.659</v>
      </c>
      <c r="S12" s="2">
        <f t="shared" si="0"/>
        <v>0.16300000000000001</v>
      </c>
    </row>
    <row r="13" spans="2:19" x14ac:dyDescent="0.25">
      <c r="H13" s="2">
        <v>4.6950000000000003</v>
      </c>
      <c r="I13" s="2">
        <v>1.6635</v>
      </c>
      <c r="J13" s="2">
        <v>1.6592</v>
      </c>
      <c r="K13" s="2">
        <v>0.16259999999999999</v>
      </c>
      <c r="P13" s="2">
        <f t="shared" si="1"/>
        <v>4.6950000000000003</v>
      </c>
      <c r="Q13" s="2">
        <f t="shared" si="2"/>
        <v>1.6639999999999999</v>
      </c>
      <c r="R13" s="2">
        <f t="shared" si="0"/>
        <v>1.659</v>
      </c>
      <c r="S13" s="2">
        <f t="shared" si="0"/>
        <v>0.16300000000000001</v>
      </c>
    </row>
    <row r="14" spans="2:19" x14ac:dyDescent="0.25">
      <c r="H14" s="2">
        <v>4.6959999999999997</v>
      </c>
      <c r="I14" s="2">
        <v>1.6635</v>
      </c>
      <c r="J14" s="2">
        <v>1.6597999999999999</v>
      </c>
      <c r="K14" s="2">
        <v>0.16270000000000001</v>
      </c>
      <c r="P14" s="2">
        <f t="shared" si="1"/>
        <v>4.6959999999999997</v>
      </c>
      <c r="Q14" s="2">
        <f t="shared" si="2"/>
        <v>1.6639999999999999</v>
      </c>
      <c r="R14" s="2">
        <f t="shared" si="0"/>
        <v>1.66</v>
      </c>
      <c r="S14" s="2">
        <f t="shared" si="0"/>
        <v>0.16300000000000001</v>
      </c>
    </row>
    <row r="15" spans="2:19" x14ac:dyDescent="0.25">
      <c r="H15" s="2">
        <v>4.6970000000000001</v>
      </c>
      <c r="I15" s="2">
        <v>1.6633</v>
      </c>
      <c r="J15" s="2">
        <v>1.6605000000000001</v>
      </c>
      <c r="K15" s="2">
        <v>0.1628</v>
      </c>
      <c r="P15" s="2">
        <f t="shared" si="1"/>
        <v>4.6970000000000001</v>
      </c>
      <c r="Q15" s="2">
        <f t="shared" si="2"/>
        <v>1.663</v>
      </c>
      <c r="R15" s="2">
        <f t="shared" si="0"/>
        <v>1.661</v>
      </c>
      <c r="S15" s="2">
        <f t="shared" si="0"/>
        <v>0.16300000000000001</v>
      </c>
    </row>
    <row r="16" spans="2:19" x14ac:dyDescent="0.25">
      <c r="B16" s="2" t="s">
        <v>29</v>
      </c>
      <c r="H16" s="2">
        <v>4.6980000000000004</v>
      </c>
      <c r="I16" s="2">
        <v>1.6636</v>
      </c>
      <c r="J16" s="2">
        <v>1.6615</v>
      </c>
      <c r="K16" s="2">
        <v>0.16289999999999999</v>
      </c>
      <c r="P16" s="2">
        <f t="shared" si="1"/>
        <v>4.6980000000000004</v>
      </c>
      <c r="Q16" s="2">
        <f t="shared" si="2"/>
        <v>1.6639999999999999</v>
      </c>
      <c r="R16" s="2">
        <f t="shared" si="0"/>
        <v>1.6619999999999999</v>
      </c>
      <c r="S16" s="2">
        <f t="shared" si="0"/>
        <v>0.16300000000000001</v>
      </c>
    </row>
    <row r="17" spans="2:19" x14ac:dyDescent="0.25">
      <c r="B17" s="2">
        <v>4.391</v>
      </c>
      <c r="C17" s="2">
        <v>1.1634</v>
      </c>
      <c r="H17" s="2">
        <v>4.6989999999999998</v>
      </c>
      <c r="I17" s="2">
        <v>1.6634</v>
      </c>
      <c r="J17" s="2">
        <v>1.6621999999999999</v>
      </c>
      <c r="K17" s="2">
        <v>0.16300000000000001</v>
      </c>
      <c r="P17" s="2">
        <f t="shared" si="1"/>
        <v>4.6989999999999998</v>
      </c>
      <c r="Q17" s="2">
        <f t="shared" si="2"/>
        <v>1.663</v>
      </c>
      <c r="R17" s="2">
        <f t="shared" si="0"/>
        <v>1.6619999999999999</v>
      </c>
      <c r="S17" s="2">
        <f t="shared" si="0"/>
        <v>0.16300000000000001</v>
      </c>
    </row>
    <row r="18" spans="2:19" x14ac:dyDescent="0.25">
      <c r="B18" s="2">
        <v>4.9790000000000001</v>
      </c>
      <c r="C18" s="2">
        <v>1.1637999999999999</v>
      </c>
      <c r="H18" s="2">
        <v>4.7</v>
      </c>
      <c r="I18" s="2">
        <v>1.6633</v>
      </c>
      <c r="J18" s="2">
        <v>1.6629</v>
      </c>
      <c r="K18" s="2">
        <v>0.16300000000000001</v>
      </c>
      <c r="P18" s="2">
        <f t="shared" si="1"/>
        <v>4.7</v>
      </c>
      <c r="Q18" s="2">
        <f t="shared" si="2"/>
        <v>1.663</v>
      </c>
      <c r="R18" s="2">
        <f t="shared" si="0"/>
        <v>1.663</v>
      </c>
      <c r="S18" s="2">
        <f t="shared" si="0"/>
        <v>0.16300000000000001</v>
      </c>
    </row>
    <row r="19" spans="2:19" x14ac:dyDescent="0.25">
      <c r="H19" s="2">
        <v>4.7009999999999996</v>
      </c>
      <c r="I19" s="2">
        <v>1.6629</v>
      </c>
      <c r="J19" s="2">
        <v>1.6633</v>
      </c>
      <c r="K19" s="2">
        <v>0.16289999999999999</v>
      </c>
      <c r="P19" s="2">
        <f t="shared" si="1"/>
        <v>4.7009999999999996</v>
      </c>
      <c r="Q19" s="2">
        <f t="shared" si="2"/>
        <v>1.663</v>
      </c>
      <c r="R19" s="2">
        <f t="shared" ref="R19:R25" si="3">ROUND(J19,$S$1)</f>
        <v>1.663</v>
      </c>
      <c r="S19" s="2">
        <f t="shared" ref="S19:S25" si="4">ROUND(K19,$S$1)</f>
        <v>0.16300000000000001</v>
      </c>
    </row>
    <row r="20" spans="2:19" x14ac:dyDescent="0.25">
      <c r="H20" s="2">
        <v>4.7020000000000097</v>
      </c>
      <c r="I20" s="2">
        <v>1.6628000000000001</v>
      </c>
      <c r="J20" s="2">
        <v>1.6637999999999999</v>
      </c>
      <c r="K20" s="2">
        <v>0.16300000000000001</v>
      </c>
      <c r="P20" s="2">
        <f t="shared" si="1"/>
        <v>4.7020000000000097</v>
      </c>
      <c r="Q20" s="2">
        <f t="shared" si="2"/>
        <v>1.663</v>
      </c>
      <c r="R20" s="2">
        <f t="shared" si="3"/>
        <v>1.6639999999999999</v>
      </c>
      <c r="S20" s="2">
        <f t="shared" si="4"/>
        <v>0.16300000000000001</v>
      </c>
    </row>
    <row r="21" spans="2:19" x14ac:dyDescent="0.25">
      <c r="H21" s="2">
        <v>4.7030000000000101</v>
      </c>
      <c r="I21" s="2">
        <v>1.6625000000000001</v>
      </c>
      <c r="J21" s="2">
        <v>1.6642999999999999</v>
      </c>
      <c r="K21" s="2">
        <v>0.16300000000000001</v>
      </c>
      <c r="P21" s="2">
        <f t="shared" si="1"/>
        <v>4.7030000000000101</v>
      </c>
      <c r="Q21" s="2">
        <f t="shared" si="2"/>
        <v>1.663</v>
      </c>
      <c r="R21" s="2">
        <f t="shared" si="3"/>
        <v>1.6639999999999999</v>
      </c>
      <c r="S21" s="2">
        <f t="shared" si="4"/>
        <v>0.16300000000000001</v>
      </c>
    </row>
    <row r="22" spans="2:19" x14ac:dyDescent="0.25">
      <c r="H22" s="2">
        <v>4.7040000000000104</v>
      </c>
      <c r="I22" s="2">
        <v>1.6624000000000001</v>
      </c>
      <c r="J22" s="2">
        <v>1.6648000000000001</v>
      </c>
      <c r="K22" s="2">
        <v>0.16309999999999999</v>
      </c>
      <c r="P22" s="2">
        <f t="shared" si="1"/>
        <v>4.7040000000000104</v>
      </c>
      <c r="Q22" s="2">
        <f t="shared" si="2"/>
        <v>1.6619999999999999</v>
      </c>
      <c r="R22" s="2">
        <f t="shared" si="3"/>
        <v>1.665</v>
      </c>
      <c r="S22" s="2">
        <f t="shared" si="4"/>
        <v>0.16300000000000001</v>
      </c>
    </row>
    <row r="23" spans="2:19" x14ac:dyDescent="0.25">
      <c r="H23" s="2">
        <v>4.7050000000000098</v>
      </c>
      <c r="I23" s="2">
        <v>1.6620999999999999</v>
      </c>
      <c r="J23" s="2">
        <v>1.6653</v>
      </c>
      <c r="K23" s="2">
        <v>0.16320000000000001</v>
      </c>
      <c r="P23" s="2">
        <f t="shared" si="1"/>
        <v>4.7050000000000098</v>
      </c>
      <c r="Q23" s="2">
        <f t="shared" si="2"/>
        <v>1.6619999999999999</v>
      </c>
      <c r="R23" s="2">
        <f t="shared" si="3"/>
        <v>1.665</v>
      </c>
      <c r="S23" s="2">
        <f t="shared" si="4"/>
        <v>0.16300000000000001</v>
      </c>
    </row>
    <row r="24" spans="2:19" x14ac:dyDescent="0.25">
      <c r="H24" s="2">
        <v>4.7060000000000102</v>
      </c>
      <c r="I24" s="2">
        <v>1.6619999999999999</v>
      </c>
      <c r="J24" s="2">
        <v>1.6659999999999999</v>
      </c>
      <c r="K24" s="2">
        <v>0.1633</v>
      </c>
      <c r="P24" s="2">
        <f t="shared" si="1"/>
        <v>4.7060000000000102</v>
      </c>
      <c r="Q24" s="2">
        <f t="shared" si="2"/>
        <v>1.6619999999999999</v>
      </c>
      <c r="R24" s="2">
        <f t="shared" si="3"/>
        <v>1.6659999999999999</v>
      </c>
      <c r="S24" s="2">
        <f t="shared" si="4"/>
        <v>0.16300000000000001</v>
      </c>
    </row>
    <row r="25" spans="2:19" x14ac:dyDescent="0.25">
      <c r="H25" s="2">
        <v>4.7070000000000096</v>
      </c>
      <c r="I25" s="2">
        <v>1.6616</v>
      </c>
      <c r="J25" s="2">
        <v>1.6657999999999999</v>
      </c>
      <c r="K25" s="2">
        <v>0.16320000000000001</v>
      </c>
      <c r="P25" s="2">
        <f t="shared" si="1"/>
        <v>4.7070000000000096</v>
      </c>
      <c r="Q25" s="2">
        <f t="shared" si="2"/>
        <v>1.6619999999999999</v>
      </c>
      <c r="R25" s="2">
        <f t="shared" si="3"/>
        <v>1.6659999999999999</v>
      </c>
      <c r="S25" s="2">
        <f t="shared" si="4"/>
        <v>0.16300000000000001</v>
      </c>
    </row>
    <row r="26" spans="2:19" x14ac:dyDescent="0.25">
      <c r="H26" s="2">
        <v>4.70800000000001</v>
      </c>
    </row>
    <row r="27" spans="2:19" x14ac:dyDescent="0.25">
      <c r="H27" s="2">
        <v>4.7090000000000103</v>
      </c>
      <c r="I27" s="4"/>
      <c r="J27" s="4"/>
    </row>
    <row r="28" spans="2:19" x14ac:dyDescent="0.25">
      <c r="H28" s="2">
        <v>4.7100000000000097</v>
      </c>
      <c r="I28" s="4"/>
      <c r="J28" s="4"/>
    </row>
    <row r="29" spans="2:19" x14ac:dyDescent="0.25">
      <c r="H29" s="2">
        <v>4.7110000000000101</v>
      </c>
      <c r="I29" s="4"/>
      <c r="J29" s="4"/>
    </row>
    <row r="30" spans="2:19" x14ac:dyDescent="0.25">
      <c r="H30" s="2">
        <v>4.7120000000000104</v>
      </c>
      <c r="I30" s="4"/>
      <c r="J30" s="4"/>
    </row>
    <row r="31" spans="2:19" x14ac:dyDescent="0.25">
      <c r="H31" s="2">
        <v>4.7130000000000098</v>
      </c>
      <c r="I31" s="4"/>
      <c r="J31" s="4"/>
    </row>
    <row r="32" spans="2:19" x14ac:dyDescent="0.25">
      <c r="H32" s="2">
        <v>4.7140000000000102</v>
      </c>
      <c r="I32" s="4"/>
      <c r="J32" s="4"/>
    </row>
    <row r="33" spans="8:10" x14ac:dyDescent="0.25">
      <c r="H33" s="2">
        <v>4.7150000000000096</v>
      </c>
      <c r="I33" s="4"/>
      <c r="J33" s="4"/>
    </row>
    <row r="34" spans="8:10" x14ac:dyDescent="0.25">
      <c r="H34" s="2">
        <v>4.71600000000001</v>
      </c>
    </row>
    <row r="35" spans="8:10" x14ac:dyDescent="0.25">
      <c r="H35" s="2">
        <v>4.7170000000000103</v>
      </c>
    </row>
    <row r="36" spans="8:10" x14ac:dyDescent="0.25">
      <c r="H36" s="2">
        <v>4.7180000000000097</v>
      </c>
    </row>
    <row r="37" spans="8:10" x14ac:dyDescent="0.25">
      <c r="H37" s="2">
        <v>4.7190000000000101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7717-FAEF-4A4D-9D65-E3D2293551C0}">
  <dimension ref="B1:S37"/>
  <sheetViews>
    <sheetView topLeftCell="H1" zoomScale="82" workbookViewId="0">
      <selection activeCell="H24" sqref="H24"/>
    </sheetView>
  </sheetViews>
  <sheetFormatPr defaultRowHeight="15" x14ac:dyDescent="0.25"/>
  <cols>
    <col min="1" max="8" width="9.140625" style="2"/>
    <col min="9" max="10" width="10.28515625" style="2" bestFit="1" customWidth="1"/>
    <col min="11" max="12" width="9.140625" style="2"/>
    <col min="13" max="13" width="12.85546875" style="2" customWidth="1"/>
    <col min="14" max="16384" width="9.140625" style="2"/>
  </cols>
  <sheetData>
    <row r="1" spans="2:19" x14ac:dyDescent="0.25">
      <c r="S1" s="2">
        <v>3</v>
      </c>
    </row>
    <row r="2" spans="2:19" x14ac:dyDescent="0.25">
      <c r="B2" s="2" t="s">
        <v>21</v>
      </c>
      <c r="C2" s="2" t="s">
        <v>19</v>
      </c>
      <c r="D2" s="2" t="s">
        <v>20</v>
      </c>
      <c r="H2" s="2" t="s">
        <v>18</v>
      </c>
      <c r="I2" s="2" t="s">
        <v>19</v>
      </c>
      <c r="J2" s="2" t="s">
        <v>20</v>
      </c>
      <c r="K2" s="2" t="s">
        <v>28</v>
      </c>
      <c r="N2" s="2" t="s">
        <v>27</v>
      </c>
      <c r="P2" s="2" t="s">
        <v>18</v>
      </c>
      <c r="Q2" s="2" t="s">
        <v>19</v>
      </c>
      <c r="R2" s="2" t="s">
        <v>20</v>
      </c>
      <c r="S2" s="2" t="s">
        <v>28</v>
      </c>
    </row>
    <row r="3" spans="2:19" x14ac:dyDescent="0.25">
      <c r="B3" s="2">
        <v>4.782</v>
      </c>
      <c r="C3" s="2">
        <v>1.8108</v>
      </c>
      <c r="D3" s="2" t="s">
        <v>22</v>
      </c>
      <c r="H3" s="2">
        <v>4.6849999999999996</v>
      </c>
      <c r="I3" s="2">
        <v>1.663</v>
      </c>
      <c r="J3" s="2">
        <v>1.651</v>
      </c>
      <c r="K3" s="2">
        <v>0.1618</v>
      </c>
      <c r="M3" s="2" t="s">
        <v>23</v>
      </c>
      <c r="N3" s="2">
        <f>MAX(I3:I37)</f>
        <v>1.6636</v>
      </c>
      <c r="P3" s="2">
        <f>H3</f>
        <v>4.6849999999999996</v>
      </c>
      <c r="Q3" s="2">
        <f>ROUND(I3,$S$1)</f>
        <v>1.663</v>
      </c>
      <c r="R3" s="2">
        <f t="shared" ref="R3:S18" si="0">ROUND(J3,$S$1)</f>
        <v>1.651</v>
      </c>
      <c r="S3" s="2">
        <f t="shared" si="0"/>
        <v>0.16200000000000001</v>
      </c>
    </row>
    <row r="4" spans="2:19" x14ac:dyDescent="0.25">
      <c r="B4" s="2">
        <v>4.8159999999999998</v>
      </c>
      <c r="C4" s="2" t="s">
        <v>22</v>
      </c>
      <c r="D4" s="2">
        <v>1.8176000000000001</v>
      </c>
      <c r="H4" s="2">
        <v>4.6859999999999999</v>
      </c>
      <c r="I4" s="2">
        <v>1.6632</v>
      </c>
      <c r="J4" s="2">
        <v>1.6519999999999999</v>
      </c>
      <c r="K4" s="2">
        <v>0.16209999999999999</v>
      </c>
      <c r="M4" s="2" t="s">
        <v>24</v>
      </c>
      <c r="N4" s="2">
        <f>MAX(J3:J37)</f>
        <v>1.6659999999999999</v>
      </c>
      <c r="P4" s="2">
        <f t="shared" ref="P4:P25" si="1">H4</f>
        <v>4.6859999999999999</v>
      </c>
      <c r="Q4" s="2">
        <f t="shared" ref="Q4:S25" si="2">ROUND(I4,$S$1)</f>
        <v>1.663</v>
      </c>
      <c r="R4" s="2">
        <f t="shared" si="0"/>
        <v>1.6519999999999999</v>
      </c>
      <c r="S4" s="2">
        <f t="shared" si="0"/>
        <v>0.16200000000000001</v>
      </c>
    </row>
    <row r="5" spans="2:19" x14ac:dyDescent="0.25">
      <c r="H5" s="2">
        <v>4.6870000000000003</v>
      </c>
      <c r="I5" s="2">
        <v>1.6633</v>
      </c>
      <c r="J5" s="2">
        <v>1.653</v>
      </c>
      <c r="K5" s="2">
        <v>0.16220000000000001</v>
      </c>
      <c r="P5" s="2">
        <f t="shared" si="1"/>
        <v>4.6870000000000003</v>
      </c>
      <c r="Q5" s="2">
        <f t="shared" si="2"/>
        <v>1.663</v>
      </c>
      <c r="R5" s="2">
        <f t="shared" si="0"/>
        <v>1.653</v>
      </c>
      <c r="S5" s="2">
        <f t="shared" si="0"/>
        <v>0.16200000000000001</v>
      </c>
    </row>
    <row r="6" spans="2:19" x14ac:dyDescent="0.25">
      <c r="H6" s="2">
        <v>4.6879999999999997</v>
      </c>
      <c r="I6" s="2">
        <v>1.6634</v>
      </c>
      <c r="J6" s="2">
        <v>1.6537999999999999</v>
      </c>
      <c r="K6" s="2">
        <v>0.16220000000000001</v>
      </c>
      <c r="P6" s="2">
        <f t="shared" si="1"/>
        <v>4.6879999999999997</v>
      </c>
      <c r="Q6" s="2">
        <f t="shared" si="2"/>
        <v>1.663</v>
      </c>
      <c r="R6" s="2">
        <f t="shared" si="0"/>
        <v>1.6539999999999999</v>
      </c>
      <c r="S6" s="2">
        <f t="shared" si="0"/>
        <v>0.16200000000000001</v>
      </c>
    </row>
    <row r="7" spans="2:19" x14ac:dyDescent="0.25">
      <c r="H7" s="2">
        <v>4.6890000000000001</v>
      </c>
      <c r="I7" s="2">
        <v>1.6634</v>
      </c>
      <c r="J7" s="2">
        <v>1.6547000000000001</v>
      </c>
      <c r="K7" s="2">
        <v>0.16239999999999999</v>
      </c>
      <c r="M7" s="2" t="s">
        <v>25</v>
      </c>
      <c r="N7" s="2">
        <f>0.7*N3</f>
        <v>1.16452</v>
      </c>
      <c r="P7" s="2">
        <f t="shared" si="1"/>
        <v>4.6890000000000001</v>
      </c>
      <c r="Q7" s="2">
        <f t="shared" si="2"/>
        <v>1.663</v>
      </c>
      <c r="R7" s="2">
        <f t="shared" si="0"/>
        <v>1.655</v>
      </c>
      <c r="S7" s="2">
        <f t="shared" si="0"/>
        <v>0.16200000000000001</v>
      </c>
    </row>
    <row r="8" spans="2:19" x14ac:dyDescent="0.25">
      <c r="C8" s="2">
        <v>1.6636</v>
      </c>
      <c r="D8" s="2" t="s">
        <v>22</v>
      </c>
      <c r="H8" s="2">
        <v>4.6900000000000004</v>
      </c>
      <c r="I8" s="2">
        <v>1.6635</v>
      </c>
      <c r="J8" s="2">
        <v>1.6555</v>
      </c>
      <c r="K8" s="2">
        <v>0.16239999999999999</v>
      </c>
      <c r="M8" s="2" t="s">
        <v>26</v>
      </c>
      <c r="N8" s="2">
        <f>0.7*N4</f>
        <v>1.1661999999999999</v>
      </c>
      <c r="P8" s="2">
        <f t="shared" si="1"/>
        <v>4.6900000000000004</v>
      </c>
      <c r="Q8" s="2">
        <f t="shared" si="2"/>
        <v>1.6639999999999999</v>
      </c>
      <c r="R8" s="2">
        <f t="shared" si="0"/>
        <v>1.6559999999999999</v>
      </c>
      <c r="S8" s="2">
        <f t="shared" si="0"/>
        <v>0.16200000000000001</v>
      </c>
    </row>
    <row r="9" spans="2:19" x14ac:dyDescent="0.25">
      <c r="H9" s="2">
        <v>4.6909999999999998</v>
      </c>
      <c r="I9" s="2">
        <v>1.6635</v>
      </c>
      <c r="J9" s="2">
        <v>1.6561999999999999</v>
      </c>
      <c r="K9" s="2">
        <v>0.16239999999999999</v>
      </c>
      <c r="P9" s="2">
        <f t="shared" si="1"/>
        <v>4.6909999999999998</v>
      </c>
      <c r="Q9" s="2">
        <f t="shared" si="2"/>
        <v>1.6639999999999999</v>
      </c>
      <c r="R9" s="2">
        <f t="shared" si="0"/>
        <v>1.6559999999999999</v>
      </c>
      <c r="S9" s="2">
        <f t="shared" si="0"/>
        <v>0.16200000000000001</v>
      </c>
    </row>
    <row r="10" spans="2:19" x14ac:dyDescent="0.25">
      <c r="H10" s="2">
        <v>4.6920000000000002</v>
      </c>
      <c r="I10" s="2">
        <v>1.6635</v>
      </c>
      <c r="J10" s="2">
        <v>1.657</v>
      </c>
      <c r="K10" s="2">
        <v>0.16250000000000001</v>
      </c>
      <c r="P10" s="2">
        <f t="shared" si="1"/>
        <v>4.6920000000000002</v>
      </c>
      <c r="Q10" s="2">
        <f t="shared" si="2"/>
        <v>1.6639999999999999</v>
      </c>
      <c r="R10" s="2">
        <f t="shared" si="0"/>
        <v>1.657</v>
      </c>
      <c r="S10" s="2">
        <f t="shared" si="0"/>
        <v>0.16300000000000001</v>
      </c>
    </row>
    <row r="11" spans="2:19" x14ac:dyDescent="0.25">
      <c r="H11" s="2">
        <v>4.6929999999999996</v>
      </c>
      <c r="I11" s="2">
        <v>1.6635</v>
      </c>
      <c r="J11" s="2">
        <v>1.6577</v>
      </c>
      <c r="K11" s="2">
        <v>0.16239999999999999</v>
      </c>
      <c r="P11" s="2">
        <f t="shared" si="1"/>
        <v>4.6929999999999996</v>
      </c>
      <c r="Q11" s="2">
        <f t="shared" si="2"/>
        <v>1.6639999999999999</v>
      </c>
      <c r="R11" s="2">
        <f t="shared" si="0"/>
        <v>1.6579999999999999</v>
      </c>
      <c r="S11" s="2">
        <f t="shared" si="0"/>
        <v>0.16200000000000001</v>
      </c>
    </row>
    <row r="12" spans="2:19" x14ac:dyDescent="0.25">
      <c r="H12" s="2">
        <v>4.694</v>
      </c>
      <c r="I12" s="2">
        <v>1.6636</v>
      </c>
      <c r="J12" s="2">
        <v>1.6585000000000001</v>
      </c>
      <c r="K12" s="2">
        <v>0.16270000000000001</v>
      </c>
      <c r="P12" s="2">
        <f t="shared" si="1"/>
        <v>4.694</v>
      </c>
      <c r="Q12" s="2">
        <f t="shared" si="2"/>
        <v>1.6639999999999999</v>
      </c>
      <c r="R12" s="2">
        <f t="shared" si="0"/>
        <v>1.659</v>
      </c>
      <c r="S12" s="2">
        <f t="shared" si="0"/>
        <v>0.16300000000000001</v>
      </c>
    </row>
    <row r="13" spans="2:19" x14ac:dyDescent="0.25">
      <c r="H13" s="2">
        <v>4.6950000000000003</v>
      </c>
      <c r="I13" s="2">
        <v>1.6635</v>
      </c>
      <c r="J13" s="2">
        <v>1.6592</v>
      </c>
      <c r="K13" s="2">
        <v>0.16259999999999999</v>
      </c>
      <c r="P13" s="2">
        <f t="shared" si="1"/>
        <v>4.6950000000000003</v>
      </c>
      <c r="Q13" s="2">
        <f t="shared" si="2"/>
        <v>1.6639999999999999</v>
      </c>
      <c r="R13" s="2">
        <f t="shared" si="0"/>
        <v>1.659</v>
      </c>
      <c r="S13" s="2">
        <f t="shared" si="0"/>
        <v>0.16300000000000001</v>
      </c>
    </row>
    <row r="14" spans="2:19" x14ac:dyDescent="0.25">
      <c r="H14" s="2">
        <v>4.6959999999999997</v>
      </c>
      <c r="I14" s="2">
        <v>1.6635</v>
      </c>
      <c r="J14" s="2">
        <v>1.6597999999999999</v>
      </c>
      <c r="K14" s="2">
        <v>0.16270000000000001</v>
      </c>
      <c r="P14" s="2">
        <f t="shared" si="1"/>
        <v>4.6959999999999997</v>
      </c>
      <c r="Q14" s="2">
        <f t="shared" si="2"/>
        <v>1.6639999999999999</v>
      </c>
      <c r="R14" s="2">
        <f t="shared" si="0"/>
        <v>1.66</v>
      </c>
      <c r="S14" s="2">
        <f t="shared" si="0"/>
        <v>0.16300000000000001</v>
      </c>
    </row>
    <row r="15" spans="2:19" x14ac:dyDescent="0.25">
      <c r="H15" s="2">
        <v>4.6970000000000001</v>
      </c>
      <c r="I15" s="2">
        <v>1.6633</v>
      </c>
      <c r="J15" s="2">
        <v>1.6605000000000001</v>
      </c>
      <c r="K15" s="2">
        <v>0.1628</v>
      </c>
      <c r="P15" s="2">
        <f t="shared" si="1"/>
        <v>4.6970000000000001</v>
      </c>
      <c r="Q15" s="2">
        <f t="shared" si="2"/>
        <v>1.663</v>
      </c>
      <c r="R15" s="2">
        <f t="shared" si="0"/>
        <v>1.661</v>
      </c>
      <c r="S15" s="2">
        <f t="shared" si="0"/>
        <v>0.16300000000000001</v>
      </c>
    </row>
    <row r="16" spans="2:19" x14ac:dyDescent="0.25">
      <c r="B16" s="2" t="s">
        <v>29</v>
      </c>
      <c r="H16" s="2">
        <v>4.6980000000000004</v>
      </c>
      <c r="I16" s="2">
        <v>1.6636</v>
      </c>
      <c r="J16" s="2">
        <v>1.6615</v>
      </c>
      <c r="K16" s="2">
        <v>0.16289999999999999</v>
      </c>
      <c r="P16" s="2">
        <f t="shared" si="1"/>
        <v>4.6980000000000004</v>
      </c>
      <c r="Q16" s="2">
        <f t="shared" si="2"/>
        <v>1.6639999999999999</v>
      </c>
      <c r="R16" s="2">
        <f t="shared" si="0"/>
        <v>1.6619999999999999</v>
      </c>
      <c r="S16" s="2">
        <f t="shared" si="0"/>
        <v>0.16300000000000001</v>
      </c>
    </row>
    <row r="17" spans="2:19" x14ac:dyDescent="0.25">
      <c r="B17" s="2">
        <v>4.391</v>
      </c>
      <c r="C17" s="2">
        <v>1.1634</v>
      </c>
      <c r="H17" s="2">
        <v>4.6989999999999998</v>
      </c>
      <c r="I17" s="2">
        <v>1.6634</v>
      </c>
      <c r="J17" s="2">
        <v>1.6621999999999999</v>
      </c>
      <c r="K17" s="2">
        <v>0.16300000000000001</v>
      </c>
      <c r="P17" s="2">
        <f t="shared" si="1"/>
        <v>4.6989999999999998</v>
      </c>
      <c r="Q17" s="2">
        <f t="shared" si="2"/>
        <v>1.663</v>
      </c>
      <c r="R17" s="2">
        <f t="shared" si="0"/>
        <v>1.6619999999999999</v>
      </c>
      <c r="S17" s="2">
        <f t="shared" si="0"/>
        <v>0.16300000000000001</v>
      </c>
    </row>
    <row r="18" spans="2:19" x14ac:dyDescent="0.25">
      <c r="B18" s="2">
        <v>4.9790000000000001</v>
      </c>
      <c r="C18" s="2">
        <v>1.1637999999999999</v>
      </c>
      <c r="H18" s="2">
        <v>4.7</v>
      </c>
      <c r="I18" s="2">
        <v>1.6633</v>
      </c>
      <c r="J18" s="2">
        <v>1.6629</v>
      </c>
      <c r="K18" s="2">
        <v>0.16300000000000001</v>
      </c>
      <c r="P18" s="2">
        <f t="shared" si="1"/>
        <v>4.7</v>
      </c>
      <c r="Q18" s="2">
        <f t="shared" si="2"/>
        <v>1.663</v>
      </c>
      <c r="R18" s="2">
        <f t="shared" si="0"/>
        <v>1.663</v>
      </c>
      <c r="S18" s="2">
        <f t="shared" si="0"/>
        <v>0.16300000000000001</v>
      </c>
    </row>
    <row r="19" spans="2:19" x14ac:dyDescent="0.25">
      <c r="H19" s="2">
        <v>4.7009999999999996</v>
      </c>
      <c r="I19" s="2">
        <v>1.6629</v>
      </c>
      <c r="J19" s="2">
        <v>1.6633</v>
      </c>
      <c r="K19" s="2">
        <v>0.16289999999999999</v>
      </c>
      <c r="P19" s="2">
        <f t="shared" si="1"/>
        <v>4.7009999999999996</v>
      </c>
      <c r="Q19" s="2">
        <f t="shared" si="2"/>
        <v>1.663</v>
      </c>
      <c r="R19" s="2">
        <f t="shared" si="2"/>
        <v>1.663</v>
      </c>
      <c r="S19" s="2">
        <f t="shared" si="2"/>
        <v>0.16300000000000001</v>
      </c>
    </row>
    <row r="20" spans="2:19" x14ac:dyDescent="0.25">
      <c r="H20" s="2">
        <v>4.7020000000000097</v>
      </c>
      <c r="I20" s="2">
        <v>1.6628000000000001</v>
      </c>
      <c r="J20" s="2">
        <v>1.6637999999999999</v>
      </c>
      <c r="K20" s="2">
        <v>0.16300000000000001</v>
      </c>
      <c r="P20" s="2">
        <f t="shared" si="1"/>
        <v>4.7020000000000097</v>
      </c>
      <c r="Q20" s="2">
        <f t="shared" si="2"/>
        <v>1.663</v>
      </c>
      <c r="R20" s="2">
        <f t="shared" si="2"/>
        <v>1.6639999999999999</v>
      </c>
      <c r="S20" s="2">
        <f t="shared" si="2"/>
        <v>0.16300000000000001</v>
      </c>
    </row>
    <row r="21" spans="2:19" x14ac:dyDescent="0.25">
      <c r="H21" s="2">
        <v>4.7030000000000101</v>
      </c>
      <c r="I21" s="2">
        <v>1.6625000000000001</v>
      </c>
      <c r="J21" s="2">
        <v>1.6642999999999999</v>
      </c>
      <c r="K21" s="2">
        <v>0.16300000000000001</v>
      </c>
      <c r="P21" s="2">
        <f t="shared" si="1"/>
        <v>4.7030000000000101</v>
      </c>
      <c r="Q21" s="2">
        <f t="shared" si="2"/>
        <v>1.663</v>
      </c>
      <c r="R21" s="2">
        <f t="shared" si="2"/>
        <v>1.6639999999999999</v>
      </c>
      <c r="S21" s="2">
        <f t="shared" si="2"/>
        <v>0.16300000000000001</v>
      </c>
    </row>
    <row r="22" spans="2:19" x14ac:dyDescent="0.25">
      <c r="H22" s="2">
        <v>4.7040000000000104</v>
      </c>
      <c r="I22" s="2">
        <v>1.6624000000000001</v>
      </c>
      <c r="J22" s="2">
        <v>1.6648000000000001</v>
      </c>
      <c r="K22" s="2">
        <v>0.16309999999999999</v>
      </c>
      <c r="P22" s="2">
        <f t="shared" si="1"/>
        <v>4.7040000000000104</v>
      </c>
      <c r="Q22" s="2">
        <f t="shared" si="2"/>
        <v>1.6619999999999999</v>
      </c>
      <c r="R22" s="2">
        <f t="shared" si="2"/>
        <v>1.665</v>
      </c>
      <c r="S22" s="2">
        <f t="shared" si="2"/>
        <v>0.16300000000000001</v>
      </c>
    </row>
    <row r="23" spans="2:19" x14ac:dyDescent="0.25">
      <c r="H23" s="2">
        <v>4.7050000000000098</v>
      </c>
      <c r="I23" s="2">
        <v>1.6620999999999999</v>
      </c>
      <c r="J23" s="2">
        <v>1.6653</v>
      </c>
      <c r="K23" s="2">
        <v>0.16320000000000001</v>
      </c>
      <c r="P23" s="2">
        <f t="shared" si="1"/>
        <v>4.7050000000000098</v>
      </c>
      <c r="Q23" s="2">
        <f t="shared" si="2"/>
        <v>1.6619999999999999</v>
      </c>
      <c r="R23" s="2">
        <f t="shared" si="2"/>
        <v>1.665</v>
      </c>
      <c r="S23" s="2">
        <f t="shared" si="2"/>
        <v>0.16300000000000001</v>
      </c>
    </row>
    <row r="24" spans="2:19" x14ac:dyDescent="0.25">
      <c r="H24" s="2">
        <v>4.7060000000000102</v>
      </c>
      <c r="I24" s="2">
        <v>1.6619999999999999</v>
      </c>
      <c r="J24" s="2">
        <v>1.6659999999999999</v>
      </c>
      <c r="K24" s="2">
        <v>0.1633</v>
      </c>
      <c r="P24" s="2">
        <f t="shared" si="1"/>
        <v>4.7060000000000102</v>
      </c>
      <c r="Q24" s="2">
        <f t="shared" si="2"/>
        <v>1.6619999999999999</v>
      </c>
      <c r="R24" s="2">
        <f t="shared" si="2"/>
        <v>1.6659999999999999</v>
      </c>
      <c r="S24" s="2">
        <f t="shared" si="2"/>
        <v>0.16300000000000001</v>
      </c>
    </row>
    <row r="25" spans="2:19" x14ac:dyDescent="0.25">
      <c r="H25" s="2">
        <v>4.7070000000000096</v>
      </c>
      <c r="I25" s="2">
        <v>1.6616</v>
      </c>
      <c r="J25" s="2">
        <v>1.6657999999999999</v>
      </c>
      <c r="K25" s="2">
        <v>0.16320000000000001</v>
      </c>
      <c r="P25" s="2">
        <f t="shared" si="1"/>
        <v>4.7070000000000096</v>
      </c>
      <c r="Q25" s="2">
        <f t="shared" si="2"/>
        <v>1.6619999999999999</v>
      </c>
      <c r="R25" s="2">
        <f t="shared" si="2"/>
        <v>1.6659999999999999</v>
      </c>
      <c r="S25" s="2">
        <f t="shared" si="2"/>
        <v>0.16300000000000001</v>
      </c>
    </row>
    <row r="26" spans="2:19" x14ac:dyDescent="0.25">
      <c r="H26" s="2">
        <v>4.70800000000001</v>
      </c>
    </row>
    <row r="27" spans="2:19" x14ac:dyDescent="0.25">
      <c r="H27" s="2">
        <v>4.7090000000000103</v>
      </c>
      <c r="I27" s="4"/>
      <c r="J27" s="4"/>
    </row>
    <row r="28" spans="2:19" x14ac:dyDescent="0.25">
      <c r="H28" s="2">
        <v>4.7100000000000097</v>
      </c>
      <c r="I28" s="4"/>
      <c r="J28" s="4"/>
    </row>
    <row r="29" spans="2:19" x14ac:dyDescent="0.25">
      <c r="H29" s="2">
        <v>4.7110000000000101</v>
      </c>
      <c r="I29" s="4"/>
      <c r="J29" s="4"/>
    </row>
    <row r="30" spans="2:19" x14ac:dyDescent="0.25">
      <c r="H30" s="2">
        <v>4.7120000000000104</v>
      </c>
      <c r="I30" s="4"/>
      <c r="J30" s="4"/>
    </row>
    <row r="31" spans="2:19" x14ac:dyDescent="0.25">
      <c r="H31" s="2">
        <v>4.7130000000000098</v>
      </c>
      <c r="I31" s="4"/>
      <c r="J31" s="4"/>
    </row>
    <row r="32" spans="2:19" x14ac:dyDescent="0.25">
      <c r="H32" s="2">
        <v>4.7140000000000102</v>
      </c>
      <c r="I32" s="4"/>
      <c r="J32" s="4"/>
    </row>
    <row r="33" spans="8:10" x14ac:dyDescent="0.25">
      <c r="H33" s="2">
        <v>4.7150000000000096</v>
      </c>
      <c r="I33" s="4"/>
      <c r="J33" s="4"/>
    </row>
    <row r="34" spans="8:10" x14ac:dyDescent="0.25">
      <c r="H34" s="2">
        <v>4.71600000000001</v>
      </c>
    </row>
    <row r="35" spans="8:10" x14ac:dyDescent="0.25">
      <c r="H35" s="2">
        <v>4.7170000000000103</v>
      </c>
    </row>
    <row r="36" spans="8:10" x14ac:dyDescent="0.25">
      <c r="H36" s="2">
        <v>4.7180000000000097</v>
      </c>
    </row>
    <row r="37" spans="8:10" x14ac:dyDescent="0.25">
      <c r="H37" s="2">
        <v>4.7190000000000101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E679-2DAF-4CD4-88D0-134891FA303F}">
  <dimension ref="C3:Y49"/>
  <sheetViews>
    <sheetView workbookViewId="0">
      <selection activeCell="C4" sqref="C4:F19"/>
    </sheetView>
  </sheetViews>
  <sheetFormatPr defaultRowHeight="15" x14ac:dyDescent="0.25"/>
  <sheetData>
    <row r="3" spans="3:23" x14ac:dyDescent="0.25">
      <c r="C3" s="2" t="s">
        <v>18</v>
      </c>
      <c r="D3" s="2" t="s">
        <v>19</v>
      </c>
      <c r="E3" s="2" t="s">
        <v>20</v>
      </c>
      <c r="F3" s="2" t="s">
        <v>28</v>
      </c>
      <c r="K3" s="2" t="s">
        <v>18</v>
      </c>
      <c r="L3" s="2" t="s">
        <v>19</v>
      </c>
      <c r="M3" s="2"/>
      <c r="N3" s="2"/>
      <c r="O3" s="2" t="s">
        <v>18</v>
      </c>
      <c r="P3" s="2" t="s">
        <v>19</v>
      </c>
      <c r="Q3" s="2" t="s">
        <v>20</v>
      </c>
      <c r="R3" s="2" t="s">
        <v>28</v>
      </c>
      <c r="T3" s="2" t="s">
        <v>18</v>
      </c>
      <c r="U3" s="2" t="s">
        <v>19</v>
      </c>
      <c r="V3" s="2" t="s">
        <v>20</v>
      </c>
      <c r="W3" s="2" t="s">
        <v>28</v>
      </c>
    </row>
    <row r="4" spans="3:23" x14ac:dyDescent="0.25">
      <c r="C4" s="2">
        <v>4.694</v>
      </c>
      <c r="D4" s="2">
        <v>1.6656</v>
      </c>
      <c r="E4" s="2">
        <v>1.6623000000000001</v>
      </c>
      <c r="F4" s="2">
        <v>0.16300000000000001</v>
      </c>
      <c r="K4">
        <v>1</v>
      </c>
      <c r="L4">
        <v>0.21759999999999999</v>
      </c>
      <c r="O4">
        <v>4.3899999999999997</v>
      </c>
      <c r="P4">
        <v>1.1632</v>
      </c>
      <c r="Q4">
        <v>1.0068999999999999</v>
      </c>
      <c r="R4">
        <v>0.1042</v>
      </c>
      <c r="T4">
        <v>3.6</v>
      </c>
      <c r="U4">
        <v>0.47499999999999998</v>
      </c>
      <c r="V4">
        <v>0.27260000000000001</v>
      </c>
      <c r="W4">
        <v>3.5200000000000002E-2</v>
      </c>
    </row>
    <row r="5" spans="3:23" x14ac:dyDescent="0.25">
      <c r="C5" s="2">
        <v>4.6740000000000004</v>
      </c>
      <c r="D5" s="2">
        <v>1.6636</v>
      </c>
      <c r="E5" s="2">
        <v>1.6459999999999999</v>
      </c>
      <c r="F5" s="2">
        <v>0.16139999999999999</v>
      </c>
      <c r="K5">
        <v>1.1000000000000001</v>
      </c>
      <c r="L5">
        <v>0.21959999999999999</v>
      </c>
      <c r="O5">
        <f>O4-0.16</f>
        <v>4.2299999999999995</v>
      </c>
      <c r="P5">
        <v>0.90459999999999996</v>
      </c>
      <c r="Q5">
        <v>0.72799999999999998</v>
      </c>
      <c r="R5">
        <v>7.8299999999999995E-2</v>
      </c>
      <c r="T5">
        <f>T4-0.65</f>
        <v>2.95</v>
      </c>
      <c r="U5">
        <v>0.3332</v>
      </c>
      <c r="V5">
        <v>0.12740000000000001</v>
      </c>
      <c r="W5">
        <v>2.0199999999999999E-2</v>
      </c>
    </row>
    <row r="6" spans="3:23" x14ac:dyDescent="0.25">
      <c r="C6" s="2">
        <v>4.6539999999999999</v>
      </c>
      <c r="D6" s="2">
        <v>1.6536</v>
      </c>
      <c r="E6" s="2">
        <v>1.6214999999999999</v>
      </c>
      <c r="F6" s="2">
        <v>0.15920000000000001</v>
      </c>
      <c r="K6">
        <v>1.2</v>
      </c>
      <c r="L6">
        <v>0.2218</v>
      </c>
      <c r="O6">
        <f t="shared" ref="O6:O9" si="0">O5-0.16</f>
        <v>4.0699999999999994</v>
      </c>
      <c r="P6">
        <v>0.73550000000000004</v>
      </c>
      <c r="Q6">
        <v>0.54379999999999995</v>
      </c>
      <c r="R6">
        <v>6.1199999999999997E-2</v>
      </c>
      <c r="T6">
        <f t="shared" ref="T6:T8" si="1">T5-0.65</f>
        <v>2.3000000000000003</v>
      </c>
      <c r="U6">
        <v>0.26919999999999999</v>
      </c>
      <c r="V6">
        <v>6.2199999999999998E-2</v>
      </c>
      <c r="W6">
        <v>1.2699999999999999E-2</v>
      </c>
    </row>
    <row r="7" spans="3:23" x14ac:dyDescent="0.25">
      <c r="C7" s="2">
        <v>4.6340000000000003</v>
      </c>
      <c r="D7" s="2">
        <v>1.6359999999999999</v>
      </c>
      <c r="E7" s="2">
        <v>1.5895999999999999</v>
      </c>
      <c r="F7" s="2">
        <v>0.15659999999999999</v>
      </c>
      <c r="K7">
        <v>1.3</v>
      </c>
      <c r="L7">
        <v>0.2</v>
      </c>
      <c r="O7">
        <f t="shared" si="0"/>
        <v>3.9099999999999993</v>
      </c>
      <c r="P7">
        <v>0.61739999999999995</v>
      </c>
      <c r="Q7">
        <v>0.42020000000000002</v>
      </c>
      <c r="R7">
        <v>4.9500000000000002E-2</v>
      </c>
      <c r="T7">
        <f t="shared" si="1"/>
        <v>1.6500000000000004</v>
      </c>
      <c r="U7">
        <v>0.23549999999999999</v>
      </c>
      <c r="V7">
        <v>2.8000000000000001E-2</v>
      </c>
      <c r="W7">
        <v>7.7999999999999996E-3</v>
      </c>
    </row>
    <row r="8" spans="3:23" x14ac:dyDescent="0.25">
      <c r="C8" s="2">
        <v>4.6139999999999999</v>
      </c>
      <c r="D8" s="2">
        <v>1.6117999999999999</v>
      </c>
      <c r="E8" s="2">
        <v>1.5512999999999999</v>
      </c>
      <c r="F8" s="2">
        <v>0.153</v>
      </c>
      <c r="K8">
        <v>1.4</v>
      </c>
      <c r="L8">
        <v>0.2</v>
      </c>
      <c r="O8">
        <f t="shared" si="0"/>
        <v>3.7499999999999991</v>
      </c>
      <c r="P8">
        <v>0.53369999999999995</v>
      </c>
      <c r="Q8">
        <v>0.33200000000000002</v>
      </c>
      <c r="R8">
        <v>4.1099999999999998E-2</v>
      </c>
      <c r="T8">
        <f t="shared" si="1"/>
        <v>1.0000000000000004</v>
      </c>
      <c r="U8">
        <v>0.21759999999999999</v>
      </c>
      <c r="V8">
        <v>9.2999999999999992E-3</v>
      </c>
      <c r="W8">
        <v>4.0000000000000001E-3</v>
      </c>
    </row>
    <row r="9" spans="3:23" x14ac:dyDescent="0.25">
      <c r="C9" s="2">
        <v>4.5940000000000003</v>
      </c>
      <c r="D9" s="2">
        <v>1.5815999999999999</v>
      </c>
      <c r="E9" s="2">
        <v>1.5085</v>
      </c>
      <c r="F9" s="2">
        <v>0.14899999999999999</v>
      </c>
      <c r="K9">
        <v>1.5</v>
      </c>
      <c r="L9">
        <v>0.2</v>
      </c>
      <c r="O9">
        <f t="shared" si="0"/>
        <v>3.589999999999999</v>
      </c>
      <c r="P9">
        <v>0.47160000000000002</v>
      </c>
      <c r="Q9">
        <v>0.26919999999999999</v>
      </c>
      <c r="R9">
        <v>3.4799999999999998E-2</v>
      </c>
    </row>
    <row r="10" spans="3:23" x14ac:dyDescent="0.25">
      <c r="C10" s="2">
        <v>4.5739999999999998</v>
      </c>
      <c r="D10" s="2">
        <v>1.5468</v>
      </c>
      <c r="E10" s="2">
        <v>1.4611000000000001</v>
      </c>
      <c r="F10" s="2">
        <v>0.14480000000000001</v>
      </c>
      <c r="K10">
        <v>1.6</v>
      </c>
      <c r="L10">
        <v>0.2</v>
      </c>
    </row>
    <row r="11" spans="3:23" x14ac:dyDescent="0.25">
      <c r="C11" s="2">
        <v>4.5540000000000003</v>
      </c>
      <c r="D11" s="2">
        <v>1.5082</v>
      </c>
      <c r="E11" s="2">
        <v>1.4113</v>
      </c>
      <c r="F11" s="2">
        <v>0.14050000000000001</v>
      </c>
      <c r="K11">
        <v>1.7</v>
      </c>
      <c r="L11">
        <v>0.2</v>
      </c>
    </row>
    <row r="12" spans="3:23" x14ac:dyDescent="0.25">
      <c r="C12" s="2">
        <v>4.5339999999999998</v>
      </c>
      <c r="D12" s="2">
        <v>1.4672000000000001</v>
      </c>
      <c r="E12" s="2">
        <v>1.3601000000000001</v>
      </c>
      <c r="F12" s="2">
        <v>0.13600000000000001</v>
      </c>
      <c r="K12">
        <v>1.8</v>
      </c>
      <c r="L12">
        <v>0.2</v>
      </c>
    </row>
    <row r="13" spans="3:23" x14ac:dyDescent="0.25">
      <c r="C13" s="2">
        <v>4.5140000000000002</v>
      </c>
      <c r="D13" s="2">
        <v>1.4244000000000001</v>
      </c>
      <c r="E13" s="2">
        <v>1.3080000000000001</v>
      </c>
      <c r="F13" s="2">
        <v>0.13109999999999999</v>
      </c>
      <c r="K13">
        <v>1.9</v>
      </c>
      <c r="L13">
        <v>0.2</v>
      </c>
    </row>
    <row r="14" spans="3:23" x14ac:dyDescent="0.25">
      <c r="C14" s="2">
        <v>4.4939999999999998</v>
      </c>
      <c r="D14" s="2">
        <v>1.3813</v>
      </c>
      <c r="E14" s="2">
        <v>1.256</v>
      </c>
      <c r="F14" s="2">
        <v>0.12659999999999999</v>
      </c>
      <c r="K14">
        <v>2</v>
      </c>
      <c r="L14">
        <v>0.3</v>
      </c>
    </row>
    <row r="15" spans="3:23" x14ac:dyDescent="0.25">
      <c r="C15" s="2">
        <v>4.4740000000000002</v>
      </c>
      <c r="D15" s="2">
        <v>1.3371999999999999</v>
      </c>
      <c r="E15" s="2">
        <v>1.2048000000000001</v>
      </c>
      <c r="F15" s="2">
        <v>0.122</v>
      </c>
      <c r="K15">
        <v>2.1</v>
      </c>
      <c r="L15">
        <v>0.3</v>
      </c>
    </row>
    <row r="16" spans="3:23" x14ac:dyDescent="0.25">
      <c r="C16" s="2">
        <v>4.4540000000000104</v>
      </c>
      <c r="D16" s="2">
        <v>1.2938000000000001</v>
      </c>
      <c r="E16" s="2">
        <v>1.1546000000000001</v>
      </c>
      <c r="F16" s="2">
        <v>0.11749999999999999</v>
      </c>
      <c r="K16">
        <v>2.2000000000000002</v>
      </c>
      <c r="L16">
        <v>0.3</v>
      </c>
    </row>
    <row r="17" spans="3:12" x14ac:dyDescent="0.25">
      <c r="C17" s="2">
        <v>4.4340000000000099</v>
      </c>
      <c r="D17" s="2">
        <v>1.2519</v>
      </c>
      <c r="E17" s="2">
        <v>1.1065</v>
      </c>
      <c r="F17" s="2">
        <v>0.11310000000000001</v>
      </c>
      <c r="K17">
        <v>2.2999999999999998</v>
      </c>
      <c r="L17">
        <v>0.3</v>
      </c>
    </row>
    <row r="18" spans="3:12" x14ac:dyDescent="0.25">
      <c r="C18" s="2">
        <v>4.4140000000000104</v>
      </c>
      <c r="D18" s="2">
        <v>1.2107000000000001</v>
      </c>
      <c r="E18" s="2">
        <v>1.0599000000000001</v>
      </c>
      <c r="F18" s="2">
        <v>0.109</v>
      </c>
      <c r="K18">
        <v>2.4</v>
      </c>
      <c r="L18">
        <v>0.3</v>
      </c>
    </row>
    <row r="19" spans="3:12" x14ac:dyDescent="0.25">
      <c r="C19" s="2">
        <v>4.3940000000000099</v>
      </c>
      <c r="D19" s="2">
        <v>1.1711</v>
      </c>
      <c r="E19" s="2">
        <v>1.0153000000000001</v>
      </c>
      <c r="F19" s="2">
        <v>0.105</v>
      </c>
      <c r="K19">
        <v>2.5</v>
      </c>
      <c r="L19">
        <v>0.3</v>
      </c>
    </row>
    <row r="20" spans="3:12" x14ac:dyDescent="0.25">
      <c r="C20" s="2"/>
      <c r="D20" s="2"/>
      <c r="E20" s="2"/>
      <c r="F20" s="2"/>
      <c r="K20">
        <v>2.6</v>
      </c>
      <c r="L20">
        <v>0.3</v>
      </c>
    </row>
    <row r="21" spans="3:12" x14ac:dyDescent="0.25">
      <c r="C21" s="2"/>
      <c r="D21" s="2"/>
      <c r="E21" s="2"/>
      <c r="F21" s="2"/>
      <c r="K21">
        <v>2.7</v>
      </c>
      <c r="L21">
        <v>0.3</v>
      </c>
    </row>
    <row r="22" spans="3:12" x14ac:dyDescent="0.25">
      <c r="C22" s="2"/>
      <c r="D22" s="2"/>
      <c r="E22" s="2"/>
      <c r="F22" s="2"/>
      <c r="K22">
        <v>2.8</v>
      </c>
      <c r="L22">
        <v>0.3</v>
      </c>
    </row>
    <row r="23" spans="3:12" x14ac:dyDescent="0.25">
      <c r="C23" s="2"/>
      <c r="D23" s="2"/>
      <c r="E23" s="2"/>
      <c r="F23" s="2"/>
      <c r="K23">
        <v>2.9</v>
      </c>
      <c r="L23">
        <v>0.3</v>
      </c>
    </row>
    <row r="24" spans="3:12" x14ac:dyDescent="0.25">
      <c r="C24" s="2"/>
      <c r="D24" s="2"/>
      <c r="E24" s="2"/>
      <c r="F24" s="2"/>
      <c r="K24">
        <v>3</v>
      </c>
      <c r="L24">
        <v>0.3</v>
      </c>
    </row>
    <row r="25" spans="3:12" x14ac:dyDescent="0.25">
      <c r="C25" s="2"/>
      <c r="D25" s="2"/>
      <c r="E25" s="2"/>
      <c r="F25" s="2"/>
      <c r="K25">
        <v>3.1</v>
      </c>
      <c r="L25">
        <v>0.4</v>
      </c>
    </row>
    <row r="26" spans="3:12" x14ac:dyDescent="0.25">
      <c r="C26" s="2"/>
      <c r="D26" s="2"/>
      <c r="E26" s="2"/>
      <c r="F26" s="2"/>
      <c r="K26">
        <v>3.2</v>
      </c>
      <c r="L26">
        <v>0.4</v>
      </c>
    </row>
    <row r="27" spans="3:12" x14ac:dyDescent="0.25">
      <c r="C27" s="2"/>
      <c r="D27" s="2"/>
      <c r="E27" s="2"/>
      <c r="F27" s="2"/>
      <c r="K27">
        <v>3.3</v>
      </c>
      <c r="L27">
        <v>0.4</v>
      </c>
    </row>
    <row r="28" spans="3:12" x14ac:dyDescent="0.25">
      <c r="C28" s="2"/>
      <c r="D28" s="4"/>
      <c r="E28" s="4"/>
      <c r="F28" s="2"/>
      <c r="K28">
        <v>3.4</v>
      </c>
      <c r="L28">
        <v>0.4</v>
      </c>
    </row>
    <row r="29" spans="3:12" x14ac:dyDescent="0.25">
      <c r="C29" s="2"/>
      <c r="D29" s="4"/>
      <c r="E29" s="4"/>
      <c r="F29" s="2"/>
      <c r="K29">
        <v>3.5</v>
      </c>
      <c r="L29">
        <v>0.4</v>
      </c>
    </row>
    <row r="30" spans="3:12" x14ac:dyDescent="0.25">
      <c r="C30" s="2"/>
      <c r="D30" s="4"/>
      <c r="E30" s="4"/>
      <c r="F30" s="2"/>
      <c r="K30">
        <v>3.6</v>
      </c>
      <c r="L30">
        <v>0.5</v>
      </c>
    </row>
    <row r="31" spans="3:12" x14ac:dyDescent="0.25">
      <c r="C31" s="2"/>
      <c r="D31" s="4"/>
      <c r="E31" s="4"/>
      <c r="F31" s="2"/>
      <c r="K31">
        <v>3.7</v>
      </c>
      <c r="L31">
        <v>0.5</v>
      </c>
    </row>
    <row r="32" spans="3:12" x14ac:dyDescent="0.25">
      <c r="C32" s="2"/>
      <c r="D32" s="4"/>
      <c r="E32" s="4"/>
      <c r="F32" s="2"/>
      <c r="K32">
        <v>3.8</v>
      </c>
      <c r="L32">
        <v>0.6</v>
      </c>
    </row>
    <row r="33" spans="3:25" x14ac:dyDescent="0.25">
      <c r="C33" s="2"/>
      <c r="D33" s="4"/>
      <c r="E33" s="4"/>
      <c r="F33" s="2"/>
      <c r="K33">
        <v>3.9</v>
      </c>
      <c r="L33">
        <v>0.6</v>
      </c>
    </row>
    <row r="34" spans="3:25" x14ac:dyDescent="0.25">
      <c r="C34" s="2"/>
      <c r="D34" s="4"/>
      <c r="E34" s="4"/>
      <c r="F34" s="2"/>
      <c r="K34">
        <v>4</v>
      </c>
      <c r="L34">
        <v>0.7</v>
      </c>
    </row>
    <row r="35" spans="3:25" x14ac:dyDescent="0.25">
      <c r="C35" s="2"/>
      <c r="D35" s="2"/>
      <c r="E35" s="2"/>
      <c r="F35" s="2"/>
      <c r="K35">
        <v>4.0999999999999996</v>
      </c>
      <c r="L35">
        <v>0.8</v>
      </c>
    </row>
    <row r="36" spans="3:25" x14ac:dyDescent="0.25">
      <c r="C36" s="2"/>
      <c r="D36" s="2"/>
      <c r="E36" s="2"/>
      <c r="F36" s="2"/>
      <c r="K36">
        <v>4.2</v>
      </c>
      <c r="L36">
        <v>0.9</v>
      </c>
    </row>
    <row r="37" spans="3:25" x14ac:dyDescent="0.25">
      <c r="C37" s="2"/>
      <c r="D37" s="2"/>
      <c r="E37" s="2"/>
      <c r="F37" s="2"/>
      <c r="K37">
        <v>4.3</v>
      </c>
      <c r="L37">
        <v>1</v>
      </c>
    </row>
    <row r="38" spans="3:25" x14ac:dyDescent="0.25">
      <c r="C38" s="2"/>
      <c r="D38" s="2"/>
      <c r="E38" s="2"/>
      <c r="F38" s="2"/>
      <c r="K38">
        <v>4.4000000000000004</v>
      </c>
      <c r="L38">
        <v>1.2</v>
      </c>
      <c r="V38" s="2" t="s">
        <v>18</v>
      </c>
      <c r="W38" s="2" t="s">
        <v>19</v>
      </c>
      <c r="X38" s="2" t="s">
        <v>20</v>
      </c>
      <c r="Y38" s="2" t="s">
        <v>28</v>
      </c>
    </row>
    <row r="39" spans="3:25" x14ac:dyDescent="0.25">
      <c r="V39">
        <v>4.3899999999999997</v>
      </c>
      <c r="W39">
        <v>1.1632</v>
      </c>
      <c r="X39">
        <v>1.0068999999999999</v>
      </c>
      <c r="Y39">
        <v>0.1042</v>
      </c>
    </row>
    <row r="40" spans="3:25" x14ac:dyDescent="0.25">
      <c r="V40">
        <f>V39-0.16</f>
        <v>4.2299999999999995</v>
      </c>
      <c r="W40">
        <v>0.90459999999999996</v>
      </c>
      <c r="X40">
        <v>0.72799999999999998</v>
      </c>
      <c r="Y40">
        <v>7.8299999999999995E-2</v>
      </c>
    </row>
    <row r="41" spans="3:25" x14ac:dyDescent="0.25">
      <c r="V41">
        <f t="shared" ref="V41:V44" si="2">V40-0.16</f>
        <v>4.0699999999999994</v>
      </c>
      <c r="W41">
        <v>0.73550000000000004</v>
      </c>
      <c r="X41">
        <v>0.54379999999999995</v>
      </c>
      <c r="Y41">
        <v>6.1199999999999997E-2</v>
      </c>
    </row>
    <row r="42" spans="3:25" x14ac:dyDescent="0.25">
      <c r="V42">
        <f t="shared" si="2"/>
        <v>3.9099999999999993</v>
      </c>
      <c r="W42">
        <v>0.61739999999999995</v>
      </c>
      <c r="X42">
        <v>0.42020000000000002</v>
      </c>
      <c r="Y42">
        <v>4.9500000000000002E-2</v>
      </c>
    </row>
    <row r="43" spans="3:25" x14ac:dyDescent="0.25">
      <c r="V43">
        <f t="shared" si="2"/>
        <v>3.7499999999999991</v>
      </c>
      <c r="W43">
        <v>0.53369999999999995</v>
      </c>
      <c r="X43">
        <v>0.33200000000000002</v>
      </c>
      <c r="Y43">
        <v>4.1099999999999998E-2</v>
      </c>
    </row>
    <row r="44" spans="3:25" x14ac:dyDescent="0.25">
      <c r="V44">
        <f t="shared" si="2"/>
        <v>3.589999999999999</v>
      </c>
      <c r="W44">
        <v>0.47160000000000002</v>
      </c>
      <c r="X44">
        <v>0.26919999999999999</v>
      </c>
      <c r="Y44">
        <v>3.4799999999999998E-2</v>
      </c>
    </row>
    <row r="45" spans="3:25" x14ac:dyDescent="0.25">
      <c r="V45">
        <v>3.6</v>
      </c>
      <c r="W45">
        <v>0.47499999999999998</v>
      </c>
      <c r="X45">
        <v>0.27260000000000001</v>
      </c>
      <c r="Y45">
        <v>3.5200000000000002E-2</v>
      </c>
    </row>
    <row r="46" spans="3:25" x14ac:dyDescent="0.25">
      <c r="V46">
        <f>V45-0.65</f>
        <v>2.95</v>
      </c>
      <c r="W46">
        <v>0.3332</v>
      </c>
      <c r="X46">
        <v>0.12740000000000001</v>
      </c>
      <c r="Y46">
        <v>2.0199999999999999E-2</v>
      </c>
    </row>
    <row r="47" spans="3:25" x14ac:dyDescent="0.25">
      <c r="V47">
        <f t="shared" ref="V47:V49" si="3">V46-0.65</f>
        <v>2.3000000000000003</v>
      </c>
      <c r="W47">
        <v>0.26919999999999999</v>
      </c>
      <c r="X47">
        <v>6.2199999999999998E-2</v>
      </c>
      <c r="Y47">
        <v>1.2699999999999999E-2</v>
      </c>
    </row>
    <row r="48" spans="3:25" x14ac:dyDescent="0.25">
      <c r="V48">
        <f t="shared" si="3"/>
        <v>1.6500000000000004</v>
      </c>
      <c r="W48">
        <v>0.23549999999999999</v>
      </c>
      <c r="X48">
        <v>2.8000000000000001E-2</v>
      </c>
      <c r="Y48">
        <v>7.7999999999999996E-3</v>
      </c>
    </row>
    <row r="49" spans="22:25" x14ac:dyDescent="0.25">
      <c r="V49">
        <f t="shared" si="3"/>
        <v>1.0000000000000004</v>
      </c>
      <c r="W49">
        <v>0.21759999999999999</v>
      </c>
      <c r="X49">
        <v>9.2999999999999992E-3</v>
      </c>
      <c r="Y49">
        <v>4.0000000000000001E-3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0B7B-15FF-4D7B-B052-7B3D04ABE307}">
  <dimension ref="C3:F22"/>
  <sheetViews>
    <sheetView workbookViewId="0">
      <selection activeCell="C4" sqref="C4:F22"/>
    </sheetView>
  </sheetViews>
  <sheetFormatPr defaultRowHeight="15" x14ac:dyDescent="0.25"/>
  <sheetData>
    <row r="3" spans="3:6" x14ac:dyDescent="0.25">
      <c r="C3" s="2" t="s">
        <v>18</v>
      </c>
      <c r="D3" s="2" t="s">
        <v>19</v>
      </c>
      <c r="E3" s="2" t="s">
        <v>20</v>
      </c>
      <c r="F3" s="2" t="s">
        <v>28</v>
      </c>
    </row>
    <row r="4" spans="3:6" x14ac:dyDescent="0.25">
      <c r="C4" s="5">
        <v>4.7060000000000004</v>
      </c>
      <c r="D4" s="5">
        <v>1.6627000000000001</v>
      </c>
      <c r="E4" s="5">
        <v>1.669</v>
      </c>
      <c r="F4" s="5">
        <v>0.16350000000000001</v>
      </c>
    </row>
    <row r="5" spans="3:6" x14ac:dyDescent="0.25">
      <c r="C5" s="5">
        <f>C4+0.02</f>
        <v>4.726</v>
      </c>
      <c r="D5" s="5">
        <v>1.6623000000000001</v>
      </c>
      <c r="E5" s="5">
        <v>1.6719999999999999</v>
      </c>
      <c r="F5" s="5">
        <v>0.1636</v>
      </c>
    </row>
    <row r="6" spans="3:6" x14ac:dyDescent="0.25">
      <c r="C6" s="5">
        <f t="shared" ref="C6:C22" si="0">C5+0.02</f>
        <v>4.7459999999999996</v>
      </c>
      <c r="D6" s="5">
        <v>1.6322000000000001</v>
      </c>
      <c r="E6" s="5">
        <v>1.667</v>
      </c>
      <c r="F6" s="5">
        <v>0.16300000000000001</v>
      </c>
    </row>
    <row r="7" spans="3:6" x14ac:dyDescent="0.25">
      <c r="C7" s="5">
        <f t="shared" si="0"/>
        <v>4.7659999999999991</v>
      </c>
      <c r="D7" s="5">
        <v>1.6063000000000001</v>
      </c>
      <c r="E7" s="5">
        <v>1.6545000000000001</v>
      </c>
      <c r="F7" s="5">
        <v>0.16139999999999999</v>
      </c>
    </row>
    <row r="8" spans="3:6" x14ac:dyDescent="0.25">
      <c r="C8" s="5">
        <f t="shared" si="0"/>
        <v>4.7859999999999987</v>
      </c>
      <c r="D8" s="5">
        <v>1.5744</v>
      </c>
      <c r="E8" s="5">
        <v>1.6351</v>
      </c>
      <c r="F8" s="5">
        <v>0.1593</v>
      </c>
    </row>
    <row r="9" spans="3:6" x14ac:dyDescent="0.25">
      <c r="C9" s="5">
        <f t="shared" si="0"/>
        <v>4.8059999999999983</v>
      </c>
      <c r="D9" s="5">
        <v>1.5377000000000001</v>
      </c>
      <c r="E9" s="5">
        <v>1.6105</v>
      </c>
      <c r="F9" s="5">
        <v>0.15659999999999999</v>
      </c>
    </row>
    <row r="10" spans="3:6" x14ac:dyDescent="0.25">
      <c r="C10" s="5">
        <f t="shared" si="0"/>
        <v>4.8259999999999978</v>
      </c>
      <c r="D10" s="5">
        <v>1.4976</v>
      </c>
      <c r="E10" s="5">
        <v>1.5811999999999999</v>
      </c>
      <c r="F10" s="5">
        <v>0.15340000000000001</v>
      </c>
    </row>
    <row r="11" spans="3:6" x14ac:dyDescent="0.25">
      <c r="C11" s="5">
        <f t="shared" si="0"/>
        <v>4.8459999999999974</v>
      </c>
      <c r="D11" s="5">
        <v>1.4544999999999999</v>
      </c>
      <c r="E11" s="5">
        <v>1.548</v>
      </c>
      <c r="F11" s="5">
        <v>0.15</v>
      </c>
    </row>
    <row r="12" spans="3:6" x14ac:dyDescent="0.25">
      <c r="C12" s="5">
        <f t="shared" si="0"/>
        <v>4.865999999999997</v>
      </c>
      <c r="D12" s="5">
        <v>1.4104000000000001</v>
      </c>
      <c r="E12" s="5">
        <v>1.5126999999999999</v>
      </c>
      <c r="F12" s="5">
        <v>0.14599999999999999</v>
      </c>
    </row>
    <row r="13" spans="3:6" x14ac:dyDescent="0.25">
      <c r="C13" s="5">
        <f t="shared" si="0"/>
        <v>4.8859999999999966</v>
      </c>
      <c r="D13" s="5">
        <v>1.365</v>
      </c>
      <c r="E13" s="5">
        <v>1.4758</v>
      </c>
      <c r="F13" s="5">
        <v>0.1419</v>
      </c>
    </row>
    <row r="14" spans="3:6" x14ac:dyDescent="0.25">
      <c r="C14" s="5">
        <f t="shared" si="0"/>
        <v>4.9059999999999961</v>
      </c>
      <c r="D14" s="5">
        <v>1.3197000000000001</v>
      </c>
      <c r="E14" s="5">
        <v>1.4378</v>
      </c>
      <c r="F14" s="5">
        <v>0.13800000000000001</v>
      </c>
    </row>
    <row r="15" spans="3:6" x14ac:dyDescent="0.25">
      <c r="C15" s="5">
        <f t="shared" si="0"/>
        <v>4.9259999999999957</v>
      </c>
      <c r="D15" s="5">
        <v>1.2746</v>
      </c>
      <c r="E15" s="5">
        <v>1.3993</v>
      </c>
      <c r="F15" s="5">
        <v>0.13370000000000001</v>
      </c>
    </row>
    <row r="16" spans="3:6" x14ac:dyDescent="0.25">
      <c r="C16" s="5">
        <f t="shared" si="0"/>
        <v>4.9459999999999953</v>
      </c>
      <c r="D16" s="5">
        <v>1.2296</v>
      </c>
      <c r="E16" s="5">
        <v>1.3613999999999999</v>
      </c>
      <c r="F16" s="5">
        <v>0.12959999999999999</v>
      </c>
    </row>
    <row r="17" spans="3:6" x14ac:dyDescent="0.25">
      <c r="C17" s="5">
        <f t="shared" si="0"/>
        <v>4.9659999999999949</v>
      </c>
      <c r="D17" s="5">
        <v>1.1870000000000001</v>
      </c>
      <c r="E17" s="5">
        <v>1.3240000000000001</v>
      </c>
      <c r="F17" s="5">
        <v>0.12540000000000001</v>
      </c>
    </row>
    <row r="18" spans="3:6" x14ac:dyDescent="0.25">
      <c r="C18" s="5">
        <f t="shared" si="0"/>
        <v>4.9859999999999944</v>
      </c>
      <c r="D18" s="5">
        <v>1.1455</v>
      </c>
      <c r="E18" s="5">
        <v>1.2866</v>
      </c>
      <c r="F18" s="5">
        <v>0.12139999999999999</v>
      </c>
    </row>
    <row r="19" spans="3:6" x14ac:dyDescent="0.25">
      <c r="C19" s="5">
        <f t="shared" si="0"/>
        <v>5.005999999999994</v>
      </c>
      <c r="D19" s="5">
        <v>1.1055999999999999</v>
      </c>
      <c r="E19" s="5">
        <v>1.2518</v>
      </c>
      <c r="F19" s="5">
        <v>0.11749999999999999</v>
      </c>
    </row>
    <row r="20" spans="3:6" x14ac:dyDescent="0.25">
      <c r="C20" s="5">
        <f t="shared" si="0"/>
        <v>5.0259999999999936</v>
      </c>
      <c r="D20" s="5">
        <v>1.0674999999999999</v>
      </c>
      <c r="E20" s="5">
        <v>1.2177</v>
      </c>
      <c r="F20" s="5">
        <v>0.114</v>
      </c>
    </row>
    <row r="21" spans="3:6" x14ac:dyDescent="0.25">
      <c r="C21" s="5">
        <f t="shared" si="0"/>
        <v>5.0459999999999932</v>
      </c>
      <c r="D21" s="5">
        <v>1.0307999999999999</v>
      </c>
      <c r="E21" s="5">
        <v>1.1843999999999999</v>
      </c>
      <c r="F21" s="5">
        <v>0.1104</v>
      </c>
    </row>
    <row r="22" spans="3:6" x14ac:dyDescent="0.25">
      <c r="C22" s="5">
        <f t="shared" si="0"/>
        <v>5.0659999999999927</v>
      </c>
      <c r="D22" s="5">
        <v>0.99550000000000005</v>
      </c>
      <c r="E22" s="5">
        <v>1.153</v>
      </c>
      <c r="F22" s="5">
        <v>0.107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8BC5-019A-40B1-90BA-3D4111C6113F}">
  <dimension ref="C2:F86"/>
  <sheetViews>
    <sheetView topLeftCell="H1" zoomScale="74" workbookViewId="0">
      <selection activeCell="I27" sqref="I27"/>
    </sheetView>
  </sheetViews>
  <sheetFormatPr defaultRowHeight="15" x14ac:dyDescent="0.25"/>
  <sheetData>
    <row r="2" spans="3:6" x14ac:dyDescent="0.25">
      <c r="C2" s="2" t="s">
        <v>18</v>
      </c>
      <c r="D2" s="2" t="s">
        <v>19</v>
      </c>
      <c r="E2" s="2" t="s">
        <v>20</v>
      </c>
      <c r="F2" s="2" t="s">
        <v>28</v>
      </c>
    </row>
    <row r="3" spans="3:6" x14ac:dyDescent="0.25">
      <c r="C3" s="2">
        <v>4.6849999999999996</v>
      </c>
      <c r="D3" s="2">
        <v>1.663</v>
      </c>
      <c r="E3" s="2">
        <v>1.651</v>
      </c>
      <c r="F3" s="2">
        <v>0.1618</v>
      </c>
    </row>
    <row r="4" spans="3:6" x14ac:dyDescent="0.25">
      <c r="C4" s="2">
        <v>4.6859999999999999</v>
      </c>
      <c r="D4" s="2">
        <v>1.6632</v>
      </c>
      <c r="E4" s="2">
        <v>1.6519999999999999</v>
      </c>
      <c r="F4" s="2">
        <v>0.16209999999999999</v>
      </c>
    </row>
    <row r="5" spans="3:6" x14ac:dyDescent="0.25">
      <c r="C5" s="2">
        <v>4.6870000000000003</v>
      </c>
      <c r="D5" s="2">
        <v>1.6633</v>
      </c>
      <c r="E5" s="2">
        <v>1.653</v>
      </c>
      <c r="F5" s="2">
        <v>0.16220000000000001</v>
      </c>
    </row>
    <row r="6" spans="3:6" x14ac:dyDescent="0.25">
      <c r="C6" s="2">
        <v>4.6879999999999997</v>
      </c>
      <c r="D6" s="2">
        <v>1.6634</v>
      </c>
      <c r="E6" s="2">
        <v>1.6537999999999999</v>
      </c>
      <c r="F6" s="2">
        <v>0.16220000000000001</v>
      </c>
    </row>
    <row r="7" spans="3:6" x14ac:dyDescent="0.25">
      <c r="C7" s="2">
        <v>4.6890000000000001</v>
      </c>
      <c r="D7" s="2">
        <v>1.6634</v>
      </c>
      <c r="E7" s="2">
        <v>1.6547000000000001</v>
      </c>
      <c r="F7" s="2">
        <v>0.16239999999999999</v>
      </c>
    </row>
    <row r="8" spans="3:6" x14ac:dyDescent="0.25">
      <c r="C8" s="2">
        <v>4.6900000000000004</v>
      </c>
      <c r="D8" s="2">
        <v>1.6635</v>
      </c>
      <c r="E8" s="2">
        <v>1.6555</v>
      </c>
      <c r="F8" s="2">
        <v>0.16239999999999999</v>
      </c>
    </row>
    <row r="9" spans="3:6" x14ac:dyDescent="0.25">
      <c r="C9" s="2">
        <v>4.6909999999999998</v>
      </c>
      <c r="D9" s="2">
        <v>1.6635</v>
      </c>
      <c r="E9" s="2">
        <v>1.6561999999999999</v>
      </c>
      <c r="F9" s="2">
        <v>0.16239999999999999</v>
      </c>
    </row>
    <row r="10" spans="3:6" x14ac:dyDescent="0.25">
      <c r="C10" s="2">
        <v>4.6920000000000002</v>
      </c>
      <c r="D10" s="2">
        <v>1.6635</v>
      </c>
      <c r="E10" s="2">
        <v>1.657</v>
      </c>
      <c r="F10" s="2">
        <v>0.16250000000000001</v>
      </c>
    </row>
    <row r="11" spans="3:6" x14ac:dyDescent="0.25">
      <c r="C11" s="2">
        <v>4.6929999999999996</v>
      </c>
      <c r="D11" s="2">
        <v>1.6635</v>
      </c>
      <c r="E11" s="2">
        <v>1.6577</v>
      </c>
      <c r="F11" s="2">
        <v>0.16239999999999999</v>
      </c>
    </row>
    <row r="12" spans="3:6" x14ac:dyDescent="0.25">
      <c r="C12" s="2">
        <v>4.694</v>
      </c>
      <c r="D12" s="2">
        <v>1.6636</v>
      </c>
      <c r="E12" s="2">
        <v>1.6585000000000001</v>
      </c>
      <c r="F12" s="2">
        <v>0.16270000000000001</v>
      </c>
    </row>
    <row r="13" spans="3:6" x14ac:dyDescent="0.25">
      <c r="C13" s="2">
        <v>4.6950000000000003</v>
      </c>
      <c r="D13" s="2">
        <v>1.6635</v>
      </c>
      <c r="E13" s="2">
        <v>1.6592</v>
      </c>
      <c r="F13" s="2">
        <v>0.16259999999999999</v>
      </c>
    </row>
    <row r="14" spans="3:6" x14ac:dyDescent="0.25">
      <c r="C14" s="2">
        <v>4.6959999999999997</v>
      </c>
      <c r="D14" s="2">
        <v>1.6635</v>
      </c>
      <c r="E14" s="2">
        <v>1.6597999999999999</v>
      </c>
      <c r="F14" s="2">
        <v>0.16270000000000001</v>
      </c>
    </row>
    <row r="15" spans="3:6" x14ac:dyDescent="0.25">
      <c r="C15" s="2">
        <v>4.6970000000000001</v>
      </c>
      <c r="D15" s="2">
        <v>1.6633</v>
      </c>
      <c r="E15" s="2">
        <v>1.6605000000000001</v>
      </c>
      <c r="F15" s="2">
        <v>0.1628</v>
      </c>
    </row>
    <row r="16" spans="3:6" x14ac:dyDescent="0.25">
      <c r="C16" s="2">
        <v>4.6980000000000004</v>
      </c>
      <c r="D16" s="2">
        <v>1.6636</v>
      </c>
      <c r="E16" s="2">
        <v>1.6615</v>
      </c>
      <c r="F16" s="2">
        <v>0.16289999999999999</v>
      </c>
    </row>
    <row r="17" spans="3:6" x14ac:dyDescent="0.25">
      <c r="C17" s="2">
        <v>4.6989999999999998</v>
      </c>
      <c r="D17" s="2">
        <v>1.6634</v>
      </c>
      <c r="E17" s="2">
        <v>1.6621999999999999</v>
      </c>
      <c r="F17" s="2">
        <v>0.16300000000000001</v>
      </c>
    </row>
    <row r="18" spans="3:6" x14ac:dyDescent="0.25">
      <c r="C18" s="2">
        <v>4.7</v>
      </c>
      <c r="D18" s="2">
        <v>1.6633</v>
      </c>
      <c r="E18" s="2">
        <v>1.6629</v>
      </c>
      <c r="F18" s="2">
        <v>0.16300000000000001</v>
      </c>
    </row>
    <row r="19" spans="3:6" x14ac:dyDescent="0.25">
      <c r="C19" s="2">
        <v>4.7009999999999996</v>
      </c>
      <c r="D19" s="2">
        <v>1.6629</v>
      </c>
      <c r="E19" s="2">
        <v>1.6633</v>
      </c>
      <c r="F19" s="2">
        <v>0.16289999999999999</v>
      </c>
    </row>
    <row r="20" spans="3:6" x14ac:dyDescent="0.25">
      <c r="C20" s="2">
        <v>4.7020000000000097</v>
      </c>
      <c r="D20" s="2">
        <v>1.6628000000000001</v>
      </c>
      <c r="E20" s="2">
        <v>1.6637999999999999</v>
      </c>
      <c r="F20" s="2">
        <v>0.16300000000000001</v>
      </c>
    </row>
    <row r="21" spans="3:6" x14ac:dyDescent="0.25">
      <c r="C21" s="2">
        <v>4.7030000000000101</v>
      </c>
      <c r="D21" s="2">
        <v>1.6625000000000001</v>
      </c>
      <c r="E21" s="2">
        <v>1.6642999999999999</v>
      </c>
      <c r="F21" s="2">
        <v>0.16300000000000001</v>
      </c>
    </row>
    <row r="22" spans="3:6" x14ac:dyDescent="0.25">
      <c r="C22" s="2">
        <v>4.7040000000000104</v>
      </c>
      <c r="D22" s="2">
        <v>1.6624000000000001</v>
      </c>
      <c r="E22" s="2">
        <v>1.6648000000000001</v>
      </c>
      <c r="F22" s="2">
        <v>0.16309999999999999</v>
      </c>
    </row>
    <row r="23" spans="3:6" x14ac:dyDescent="0.25">
      <c r="C23" s="2">
        <v>4.7050000000000098</v>
      </c>
      <c r="D23" s="2">
        <v>1.6620999999999999</v>
      </c>
      <c r="E23" s="2">
        <v>1.6653</v>
      </c>
      <c r="F23" s="2">
        <v>0.16320000000000001</v>
      </c>
    </row>
    <row r="24" spans="3:6" x14ac:dyDescent="0.25">
      <c r="C24" s="2">
        <v>4.7060000000000102</v>
      </c>
      <c r="D24" s="2">
        <v>1.6619999999999999</v>
      </c>
      <c r="E24" s="2">
        <v>1.6659999999999999</v>
      </c>
      <c r="F24" s="2">
        <v>0.1633</v>
      </c>
    </row>
    <row r="25" spans="3:6" x14ac:dyDescent="0.25">
      <c r="C25" s="2">
        <v>4.7070000000000096</v>
      </c>
      <c r="D25" s="2">
        <v>1.6616</v>
      </c>
      <c r="E25" s="2">
        <v>1.6657999999999999</v>
      </c>
      <c r="F25" s="2">
        <v>0.16320000000000001</v>
      </c>
    </row>
    <row r="26" spans="3:6" x14ac:dyDescent="0.25">
      <c r="C26">
        <v>4.3899999999999997</v>
      </c>
      <c r="D26">
        <v>1.1632</v>
      </c>
      <c r="E26">
        <v>1.0068999999999999</v>
      </c>
      <c r="F26">
        <v>0.1042</v>
      </c>
    </row>
    <row r="27" spans="3:6" x14ac:dyDescent="0.25">
      <c r="C27">
        <f>C26-0.16</f>
        <v>4.2299999999999995</v>
      </c>
      <c r="D27">
        <v>0.90459999999999996</v>
      </c>
      <c r="E27">
        <v>0.72799999999999998</v>
      </c>
      <c r="F27">
        <v>7.8299999999999995E-2</v>
      </c>
    </row>
    <row r="28" spans="3:6" x14ac:dyDescent="0.25">
      <c r="C28">
        <f t="shared" ref="C28:C31" si="0">C27-0.16</f>
        <v>4.0699999999999994</v>
      </c>
      <c r="D28">
        <v>0.73550000000000004</v>
      </c>
      <c r="E28">
        <v>0.54379999999999995</v>
      </c>
      <c r="F28">
        <v>6.1199999999999997E-2</v>
      </c>
    </row>
    <row r="29" spans="3:6" x14ac:dyDescent="0.25">
      <c r="C29">
        <f t="shared" si="0"/>
        <v>3.9099999999999993</v>
      </c>
      <c r="D29">
        <v>0.61739999999999995</v>
      </c>
      <c r="E29">
        <v>0.42020000000000002</v>
      </c>
      <c r="F29">
        <v>4.9500000000000002E-2</v>
      </c>
    </row>
    <row r="30" spans="3:6" x14ac:dyDescent="0.25">
      <c r="C30">
        <f t="shared" si="0"/>
        <v>3.7499999999999991</v>
      </c>
      <c r="D30">
        <v>0.53369999999999995</v>
      </c>
      <c r="E30">
        <v>0.33200000000000002</v>
      </c>
      <c r="F30">
        <v>4.1099999999999998E-2</v>
      </c>
    </row>
    <row r="31" spans="3:6" x14ac:dyDescent="0.25">
      <c r="C31">
        <f t="shared" si="0"/>
        <v>3.589999999999999</v>
      </c>
      <c r="D31">
        <v>0.47160000000000002</v>
      </c>
      <c r="E31">
        <v>0.26919999999999999</v>
      </c>
      <c r="F31">
        <v>3.4799999999999998E-2</v>
      </c>
    </row>
    <row r="32" spans="3:6" x14ac:dyDescent="0.25">
      <c r="C32">
        <v>3.6</v>
      </c>
      <c r="D32">
        <v>0.47499999999999998</v>
      </c>
      <c r="E32">
        <v>0.27260000000000001</v>
      </c>
      <c r="F32">
        <v>3.5200000000000002E-2</v>
      </c>
    </row>
    <row r="33" spans="3:6" x14ac:dyDescent="0.25">
      <c r="C33">
        <f>C32-0.65</f>
        <v>2.95</v>
      </c>
      <c r="D33">
        <v>0.3332</v>
      </c>
      <c r="E33">
        <v>0.12740000000000001</v>
      </c>
      <c r="F33">
        <v>2.0199999999999999E-2</v>
      </c>
    </row>
    <row r="34" spans="3:6" x14ac:dyDescent="0.25">
      <c r="C34">
        <f t="shared" ref="C34:C36" si="1">C33-0.65</f>
        <v>2.3000000000000003</v>
      </c>
      <c r="D34">
        <v>0.26919999999999999</v>
      </c>
      <c r="E34">
        <v>6.2199999999999998E-2</v>
      </c>
      <c r="F34">
        <v>1.2699999999999999E-2</v>
      </c>
    </row>
    <row r="35" spans="3:6" x14ac:dyDescent="0.25">
      <c r="C35">
        <f t="shared" si="1"/>
        <v>1.6500000000000004</v>
      </c>
      <c r="D35">
        <v>0.23549999999999999</v>
      </c>
      <c r="E35">
        <v>2.8000000000000001E-2</v>
      </c>
      <c r="F35">
        <v>7.7999999999999996E-3</v>
      </c>
    </row>
    <row r="36" spans="3:6" x14ac:dyDescent="0.25">
      <c r="C36">
        <f t="shared" si="1"/>
        <v>1.0000000000000004</v>
      </c>
      <c r="D36">
        <v>0.21759999999999999</v>
      </c>
      <c r="E36">
        <v>9.2999999999999992E-3</v>
      </c>
      <c r="F36">
        <v>4.0000000000000001E-3</v>
      </c>
    </row>
    <row r="37" spans="3:6" x14ac:dyDescent="0.25">
      <c r="C37" s="2">
        <v>4.694</v>
      </c>
      <c r="D37" s="2">
        <v>1.6656</v>
      </c>
      <c r="E37" s="2">
        <v>1.6623000000000001</v>
      </c>
      <c r="F37" s="2">
        <v>0.16300000000000001</v>
      </c>
    </row>
    <row r="38" spans="3:6" x14ac:dyDescent="0.25">
      <c r="C38" s="2">
        <v>4.6740000000000004</v>
      </c>
      <c r="D38" s="2">
        <v>1.6636</v>
      </c>
      <c r="E38" s="2">
        <v>1.6459999999999999</v>
      </c>
      <c r="F38" s="2">
        <v>0.16139999999999999</v>
      </c>
    </row>
    <row r="39" spans="3:6" x14ac:dyDescent="0.25">
      <c r="C39" s="2">
        <v>4.6539999999999999</v>
      </c>
      <c r="D39" s="2">
        <v>1.6536</v>
      </c>
      <c r="E39" s="2">
        <v>1.6214999999999999</v>
      </c>
      <c r="F39" s="2">
        <v>0.15920000000000001</v>
      </c>
    </row>
    <row r="40" spans="3:6" x14ac:dyDescent="0.25">
      <c r="C40" s="2">
        <v>4.6340000000000003</v>
      </c>
      <c r="D40" s="2">
        <v>1.6359999999999999</v>
      </c>
      <c r="E40" s="2">
        <v>1.5895999999999999</v>
      </c>
      <c r="F40" s="2">
        <v>0.15659999999999999</v>
      </c>
    </row>
    <row r="41" spans="3:6" x14ac:dyDescent="0.25">
      <c r="C41" s="2">
        <v>4.6139999999999999</v>
      </c>
      <c r="D41" s="2">
        <v>1.6117999999999999</v>
      </c>
      <c r="E41" s="2">
        <v>1.5512999999999999</v>
      </c>
      <c r="F41" s="2">
        <v>0.153</v>
      </c>
    </row>
    <row r="42" spans="3:6" x14ac:dyDescent="0.25">
      <c r="C42" s="2">
        <v>4.5940000000000003</v>
      </c>
      <c r="D42" s="2">
        <v>1.5815999999999999</v>
      </c>
      <c r="E42" s="2">
        <v>1.5085</v>
      </c>
      <c r="F42" s="2">
        <v>0.14899999999999999</v>
      </c>
    </row>
    <row r="43" spans="3:6" x14ac:dyDescent="0.25">
      <c r="C43" s="2">
        <v>4.5739999999999998</v>
      </c>
      <c r="D43" s="2">
        <v>1.5468</v>
      </c>
      <c r="E43" s="2">
        <v>1.4611000000000001</v>
      </c>
      <c r="F43" s="2">
        <v>0.14480000000000001</v>
      </c>
    </row>
    <row r="44" spans="3:6" x14ac:dyDescent="0.25">
      <c r="C44" s="2">
        <v>4.5540000000000003</v>
      </c>
      <c r="D44" s="2">
        <v>1.5082</v>
      </c>
      <c r="E44" s="2">
        <v>1.4113</v>
      </c>
      <c r="F44" s="2">
        <v>0.14050000000000001</v>
      </c>
    </row>
    <row r="45" spans="3:6" x14ac:dyDescent="0.25">
      <c r="C45" s="2">
        <v>4.5339999999999998</v>
      </c>
      <c r="D45" s="2">
        <v>1.4672000000000001</v>
      </c>
      <c r="E45" s="2">
        <v>1.3601000000000001</v>
      </c>
      <c r="F45" s="2">
        <v>0.13600000000000001</v>
      </c>
    </row>
    <row r="46" spans="3:6" x14ac:dyDescent="0.25">
      <c r="C46" s="2">
        <v>4.5140000000000002</v>
      </c>
      <c r="D46" s="2">
        <v>1.4244000000000001</v>
      </c>
      <c r="E46" s="2">
        <v>1.3080000000000001</v>
      </c>
      <c r="F46" s="2">
        <v>0.13109999999999999</v>
      </c>
    </row>
    <row r="47" spans="3:6" x14ac:dyDescent="0.25">
      <c r="C47" s="2">
        <v>4.4939999999999998</v>
      </c>
      <c r="D47" s="2">
        <v>1.3813</v>
      </c>
      <c r="E47" s="2">
        <v>1.256</v>
      </c>
      <c r="F47" s="2">
        <v>0.12659999999999999</v>
      </c>
    </row>
    <row r="48" spans="3:6" x14ac:dyDescent="0.25">
      <c r="C48" s="2">
        <v>4.4740000000000002</v>
      </c>
      <c r="D48" s="2">
        <v>1.3371999999999999</v>
      </c>
      <c r="E48" s="2">
        <v>1.2048000000000001</v>
      </c>
      <c r="F48" s="2">
        <v>0.122</v>
      </c>
    </row>
    <row r="49" spans="3:6" x14ac:dyDescent="0.25">
      <c r="C49" s="2">
        <v>4.4540000000000104</v>
      </c>
      <c r="D49" s="2">
        <v>1.2938000000000001</v>
      </c>
      <c r="E49" s="2">
        <v>1.1546000000000001</v>
      </c>
      <c r="F49" s="2">
        <v>0.11749999999999999</v>
      </c>
    </row>
    <row r="50" spans="3:6" x14ac:dyDescent="0.25">
      <c r="C50" s="2">
        <v>4.4340000000000099</v>
      </c>
      <c r="D50" s="2">
        <v>1.2519</v>
      </c>
      <c r="E50" s="2">
        <v>1.1065</v>
      </c>
      <c r="F50" s="2">
        <v>0.11310000000000001</v>
      </c>
    </row>
    <row r="51" spans="3:6" x14ac:dyDescent="0.25">
      <c r="C51" s="2">
        <v>4.4140000000000104</v>
      </c>
      <c r="D51" s="2">
        <v>1.2107000000000001</v>
      </c>
      <c r="E51" s="2">
        <v>1.0599000000000001</v>
      </c>
      <c r="F51" s="2">
        <v>0.109</v>
      </c>
    </row>
    <row r="52" spans="3:6" x14ac:dyDescent="0.25">
      <c r="C52" s="2">
        <v>4.3940000000000099</v>
      </c>
      <c r="D52" s="2">
        <v>1.1711</v>
      </c>
      <c r="E52" s="2">
        <v>1.0153000000000001</v>
      </c>
      <c r="F52" s="2">
        <v>0.105</v>
      </c>
    </row>
    <row r="53" spans="3:6" x14ac:dyDescent="0.25">
      <c r="C53" s="5">
        <v>4.7060000000000004</v>
      </c>
      <c r="D53" s="5">
        <v>1.6627000000000001</v>
      </c>
      <c r="E53" s="5">
        <v>1.669</v>
      </c>
      <c r="F53" s="5">
        <v>0.16350000000000001</v>
      </c>
    </row>
    <row r="54" spans="3:6" x14ac:dyDescent="0.25">
      <c r="C54" s="5">
        <f>C53+0.02</f>
        <v>4.726</v>
      </c>
      <c r="D54" s="5">
        <v>1.6623000000000001</v>
      </c>
      <c r="E54" s="5">
        <v>1.6719999999999999</v>
      </c>
      <c r="F54" s="5">
        <v>0.1636</v>
      </c>
    </row>
    <row r="55" spans="3:6" x14ac:dyDescent="0.25">
      <c r="C55" s="5">
        <f t="shared" ref="C55:C71" si="2">C54+0.02</f>
        <v>4.7459999999999996</v>
      </c>
      <c r="D55" s="5">
        <v>1.6322000000000001</v>
      </c>
      <c r="E55" s="5">
        <v>1.667</v>
      </c>
      <c r="F55" s="5">
        <v>0.16300000000000001</v>
      </c>
    </row>
    <row r="56" spans="3:6" x14ac:dyDescent="0.25">
      <c r="C56" s="5">
        <f t="shared" si="2"/>
        <v>4.7659999999999991</v>
      </c>
      <c r="D56" s="5">
        <v>1.6063000000000001</v>
      </c>
      <c r="E56" s="5">
        <v>1.6545000000000001</v>
      </c>
      <c r="F56" s="5">
        <v>0.16139999999999999</v>
      </c>
    </row>
    <row r="57" spans="3:6" x14ac:dyDescent="0.25">
      <c r="C57" s="5">
        <f t="shared" si="2"/>
        <v>4.7859999999999987</v>
      </c>
      <c r="D57" s="5">
        <v>1.5744</v>
      </c>
      <c r="E57" s="5">
        <v>1.6351</v>
      </c>
      <c r="F57" s="5">
        <v>0.1593</v>
      </c>
    </row>
    <row r="58" spans="3:6" x14ac:dyDescent="0.25">
      <c r="C58" s="5">
        <f t="shared" si="2"/>
        <v>4.8059999999999983</v>
      </c>
      <c r="D58" s="5">
        <v>1.5377000000000001</v>
      </c>
      <c r="E58" s="5">
        <v>1.6105</v>
      </c>
      <c r="F58" s="5">
        <v>0.15659999999999999</v>
      </c>
    </row>
    <row r="59" spans="3:6" x14ac:dyDescent="0.25">
      <c r="C59" s="5">
        <f t="shared" si="2"/>
        <v>4.8259999999999978</v>
      </c>
      <c r="D59" s="5">
        <v>1.4976</v>
      </c>
      <c r="E59" s="5">
        <v>1.5811999999999999</v>
      </c>
      <c r="F59" s="5">
        <v>0.15340000000000001</v>
      </c>
    </row>
    <row r="60" spans="3:6" x14ac:dyDescent="0.25">
      <c r="C60" s="5">
        <f t="shared" si="2"/>
        <v>4.8459999999999974</v>
      </c>
      <c r="D60" s="5">
        <v>1.4544999999999999</v>
      </c>
      <c r="E60" s="5">
        <v>1.548</v>
      </c>
      <c r="F60" s="5">
        <v>0.15</v>
      </c>
    </row>
    <row r="61" spans="3:6" x14ac:dyDescent="0.25">
      <c r="C61" s="5">
        <f t="shared" si="2"/>
        <v>4.865999999999997</v>
      </c>
      <c r="D61" s="5">
        <v>1.4104000000000001</v>
      </c>
      <c r="E61" s="5">
        <v>1.5126999999999999</v>
      </c>
      <c r="F61" s="5">
        <v>0.14599999999999999</v>
      </c>
    </row>
    <row r="62" spans="3:6" x14ac:dyDescent="0.25">
      <c r="C62" s="5">
        <f t="shared" si="2"/>
        <v>4.8859999999999966</v>
      </c>
      <c r="D62" s="5">
        <v>1.365</v>
      </c>
      <c r="E62" s="5">
        <v>1.4758</v>
      </c>
      <c r="F62" s="5">
        <v>0.1419</v>
      </c>
    </row>
    <row r="63" spans="3:6" x14ac:dyDescent="0.25">
      <c r="C63" s="5">
        <f t="shared" si="2"/>
        <v>4.9059999999999961</v>
      </c>
      <c r="D63" s="5">
        <v>1.3197000000000001</v>
      </c>
      <c r="E63" s="5">
        <v>1.4378</v>
      </c>
      <c r="F63" s="5">
        <v>0.13800000000000001</v>
      </c>
    </row>
    <row r="64" spans="3:6" x14ac:dyDescent="0.25">
      <c r="C64" s="5">
        <f t="shared" si="2"/>
        <v>4.9259999999999957</v>
      </c>
      <c r="D64" s="5">
        <v>1.2746</v>
      </c>
      <c r="E64" s="5">
        <v>1.3993</v>
      </c>
      <c r="F64" s="5">
        <v>0.13370000000000001</v>
      </c>
    </row>
    <row r="65" spans="3:6" x14ac:dyDescent="0.25">
      <c r="C65" s="5">
        <f t="shared" si="2"/>
        <v>4.9459999999999953</v>
      </c>
      <c r="D65" s="5">
        <v>1.2296</v>
      </c>
      <c r="E65" s="5">
        <v>1.3613999999999999</v>
      </c>
      <c r="F65" s="5">
        <v>0.12959999999999999</v>
      </c>
    </row>
    <row r="66" spans="3:6" x14ac:dyDescent="0.25">
      <c r="C66" s="5">
        <f t="shared" si="2"/>
        <v>4.9659999999999949</v>
      </c>
      <c r="D66" s="5">
        <v>1.1870000000000001</v>
      </c>
      <c r="E66" s="5">
        <v>1.3240000000000001</v>
      </c>
      <c r="F66" s="5">
        <v>0.12540000000000001</v>
      </c>
    </row>
    <row r="67" spans="3:6" x14ac:dyDescent="0.25">
      <c r="C67" s="5">
        <f t="shared" si="2"/>
        <v>4.9859999999999944</v>
      </c>
      <c r="D67" s="5">
        <v>1.1455</v>
      </c>
      <c r="E67" s="5">
        <v>1.2866</v>
      </c>
      <c r="F67" s="5">
        <v>0.12139999999999999</v>
      </c>
    </row>
    <row r="68" spans="3:6" x14ac:dyDescent="0.25">
      <c r="C68" s="5">
        <f t="shared" si="2"/>
        <v>5.005999999999994</v>
      </c>
      <c r="D68" s="5">
        <v>1.1055999999999999</v>
      </c>
      <c r="E68" s="5">
        <v>1.2518</v>
      </c>
      <c r="F68" s="5">
        <v>0.11749999999999999</v>
      </c>
    </row>
    <row r="69" spans="3:6" x14ac:dyDescent="0.25">
      <c r="C69" s="5">
        <f t="shared" si="2"/>
        <v>5.0259999999999936</v>
      </c>
      <c r="D69" s="5">
        <v>1.0674999999999999</v>
      </c>
      <c r="E69" s="5">
        <v>1.2177</v>
      </c>
      <c r="F69" s="5">
        <v>0.114</v>
      </c>
    </row>
    <row r="70" spans="3:6" x14ac:dyDescent="0.25">
      <c r="C70" s="5">
        <f t="shared" si="2"/>
        <v>5.0459999999999932</v>
      </c>
      <c r="D70" s="5">
        <v>1.0307999999999999</v>
      </c>
      <c r="E70" s="5">
        <v>1.1843999999999999</v>
      </c>
      <c r="F70" s="5">
        <v>0.1104</v>
      </c>
    </row>
    <row r="71" spans="3:6" x14ac:dyDescent="0.25">
      <c r="C71" s="5">
        <f t="shared" si="2"/>
        <v>5.0659999999999927</v>
      </c>
      <c r="D71" s="5">
        <v>0.99550000000000005</v>
      </c>
      <c r="E71" s="5">
        <v>1.153</v>
      </c>
      <c r="F71" s="5">
        <v>0.107</v>
      </c>
    </row>
    <row r="72" spans="3:6" x14ac:dyDescent="0.25">
      <c r="C72" s="5">
        <v>5.0599999999999996</v>
      </c>
      <c r="D72" s="5">
        <v>1.0065</v>
      </c>
      <c r="E72" s="5">
        <v>1.1619999999999999</v>
      </c>
      <c r="F72" s="5">
        <v>0.108</v>
      </c>
    </row>
    <row r="73" spans="3:6" x14ac:dyDescent="0.25">
      <c r="C73" s="5">
        <f>C72+0.2</f>
        <v>5.26</v>
      </c>
      <c r="D73" s="5">
        <v>0.73660000000000003</v>
      </c>
      <c r="E73" s="5">
        <v>0.91</v>
      </c>
      <c r="F73" s="5">
        <v>8.0699999999999994E-2</v>
      </c>
    </row>
    <row r="74" spans="3:6" x14ac:dyDescent="0.25">
      <c r="C74" s="5">
        <f t="shared" ref="C74:C79" si="3">C73+0.2</f>
        <v>5.46</v>
      </c>
      <c r="D74" s="5">
        <v>0.5675</v>
      </c>
      <c r="E74" s="5">
        <v>0.75149999999999995</v>
      </c>
      <c r="F74" s="5">
        <v>6.3500000000000001E-2</v>
      </c>
    </row>
    <row r="75" spans="3:6" x14ac:dyDescent="0.25">
      <c r="C75" s="5">
        <f t="shared" si="3"/>
        <v>5.66</v>
      </c>
      <c r="D75" s="5">
        <v>0.45660000000000001</v>
      </c>
      <c r="E75" s="5">
        <v>0.65</v>
      </c>
      <c r="F75" s="5">
        <v>5.2299999999999999E-2</v>
      </c>
    </row>
    <row r="76" spans="3:6" x14ac:dyDescent="0.25">
      <c r="C76" s="5">
        <f t="shared" si="3"/>
        <v>5.86</v>
      </c>
      <c r="D76" s="5">
        <v>0.37930000000000003</v>
      </c>
      <c r="E76" s="5">
        <v>0.57569999999999999</v>
      </c>
      <c r="F76" s="5">
        <v>4.4400000000000002E-2</v>
      </c>
    </row>
    <row r="77" spans="3:6" x14ac:dyDescent="0.25">
      <c r="C77" s="5">
        <f t="shared" si="3"/>
        <v>6.0600000000000005</v>
      </c>
      <c r="D77" s="5">
        <v>0.32250000000000001</v>
      </c>
      <c r="E77" s="5">
        <v>0.52110000000000001</v>
      </c>
      <c r="F77" s="5">
        <v>3.85E-2</v>
      </c>
    </row>
    <row r="78" spans="3:6" x14ac:dyDescent="0.25">
      <c r="C78" s="5">
        <f t="shared" si="3"/>
        <v>6.2600000000000007</v>
      </c>
      <c r="D78" s="5">
        <v>0.2787</v>
      </c>
      <c r="E78" s="5">
        <v>0.47910000000000003</v>
      </c>
      <c r="F78" s="5">
        <v>3.4099999999999998E-2</v>
      </c>
    </row>
    <row r="79" spans="3:6" x14ac:dyDescent="0.25">
      <c r="C79" s="5">
        <f t="shared" si="3"/>
        <v>6.4600000000000009</v>
      </c>
      <c r="D79" s="5">
        <v>0.2445</v>
      </c>
      <c r="E79" s="5">
        <v>0.44579999999999997</v>
      </c>
      <c r="F79" s="5">
        <v>3.0499999999999999E-2</v>
      </c>
    </row>
    <row r="80" spans="3:6" x14ac:dyDescent="0.25">
      <c r="C80" s="5">
        <v>6.46</v>
      </c>
      <c r="D80" s="5">
        <v>0.2445</v>
      </c>
      <c r="E80" s="5">
        <v>0.44579999999999997</v>
      </c>
      <c r="F80" s="5">
        <v>3.0499999999999999E-2</v>
      </c>
    </row>
    <row r="81" spans="3:6" x14ac:dyDescent="0.25">
      <c r="C81" s="5">
        <f>C80+0.6</f>
        <v>7.06</v>
      </c>
      <c r="D81" s="5">
        <v>0.17299999999999999</v>
      </c>
      <c r="E81" s="5">
        <v>0.37640000000000001</v>
      </c>
      <c r="F81" s="5">
        <v>2.3E-2</v>
      </c>
    </row>
    <row r="82" spans="3:6" x14ac:dyDescent="0.25">
      <c r="C82" s="5">
        <f t="shared" ref="C82:C83" si="4">C81+0.6</f>
        <v>7.6599999999999993</v>
      </c>
      <c r="D82" s="5">
        <v>0.13059999999999999</v>
      </c>
      <c r="E82" s="5">
        <v>0.33460000000000001</v>
      </c>
      <c r="F82" s="5">
        <v>1.84E-2</v>
      </c>
    </row>
    <row r="83" spans="3:6" x14ac:dyDescent="0.25">
      <c r="C83" s="5">
        <f t="shared" si="4"/>
        <v>8.26</v>
      </c>
      <c r="D83" s="5">
        <v>0.1028</v>
      </c>
      <c r="E83" s="5">
        <v>0.30730000000000002</v>
      </c>
      <c r="F83" s="5">
        <v>1.52E-2</v>
      </c>
    </row>
    <row r="84" spans="3:6" x14ac:dyDescent="0.25">
      <c r="C84" s="5">
        <f>C83+0.6</f>
        <v>8.86</v>
      </c>
      <c r="D84" s="5">
        <v>8.3599999999999994E-2</v>
      </c>
      <c r="E84" s="5">
        <v>0.28870000000000001</v>
      </c>
      <c r="F84" s="5">
        <v>1.2999999999999999E-2</v>
      </c>
    </row>
    <row r="85" spans="3:6" x14ac:dyDescent="0.25">
      <c r="C85" s="5">
        <f t="shared" ref="C85:C86" si="5">C84+0.6</f>
        <v>9.4599999999999991</v>
      </c>
      <c r="D85" s="5">
        <v>6.9599999999999995E-2</v>
      </c>
      <c r="E85" s="5">
        <v>0.27460000000000001</v>
      </c>
      <c r="F85" s="5">
        <v>1.1299999999999999E-2</v>
      </c>
    </row>
    <row r="86" spans="3:6" x14ac:dyDescent="0.25">
      <c r="C86" s="5">
        <f t="shared" si="5"/>
        <v>10.059999999999999</v>
      </c>
      <c r="D86" s="5">
        <v>5.8999999999999997E-2</v>
      </c>
      <c r="E86" s="5">
        <v>0.2641</v>
      </c>
      <c r="F86" s="5">
        <v>9.9000000000000008E-3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140E-4F10-4524-897B-660F100CDBAB}">
  <dimension ref="B2:D12"/>
  <sheetViews>
    <sheetView tabSelected="1" workbookViewId="0">
      <selection activeCell="N17" sqref="N17"/>
    </sheetView>
  </sheetViews>
  <sheetFormatPr defaultRowHeight="15" x14ac:dyDescent="0.25"/>
  <cols>
    <col min="1" max="16384" width="9.140625" style="5"/>
  </cols>
  <sheetData>
    <row r="2" spans="2:4" x14ac:dyDescent="0.25">
      <c r="B2" s="5" t="s">
        <v>16</v>
      </c>
      <c r="C2" s="5" t="s">
        <v>30</v>
      </c>
      <c r="D2" s="5" t="s">
        <v>31</v>
      </c>
    </row>
    <row r="3" spans="2:4" x14ac:dyDescent="0.25">
      <c r="D3" s="5">
        <f>C3*0.63</f>
        <v>0</v>
      </c>
    </row>
    <row r="4" spans="2:4" x14ac:dyDescent="0.25">
      <c r="D4" s="5">
        <f t="shared" ref="D4:D12" si="0">C4*0.63</f>
        <v>0</v>
      </c>
    </row>
    <row r="5" spans="2:4" x14ac:dyDescent="0.25">
      <c r="B5" s="5">
        <v>0.05</v>
      </c>
      <c r="C5" s="5">
        <v>9.6</v>
      </c>
      <c r="D5" s="5">
        <f t="shared" si="0"/>
        <v>6.048</v>
      </c>
    </row>
    <row r="6" spans="2:4" x14ac:dyDescent="0.25">
      <c r="D6" s="5">
        <f t="shared" si="0"/>
        <v>0</v>
      </c>
    </row>
    <row r="7" spans="2:4" x14ac:dyDescent="0.25">
      <c r="D7" s="5">
        <f t="shared" si="0"/>
        <v>0</v>
      </c>
    </row>
    <row r="8" spans="2:4" x14ac:dyDescent="0.25">
      <c r="D8" s="5">
        <f t="shared" si="0"/>
        <v>0</v>
      </c>
    </row>
    <row r="9" spans="2:4" x14ac:dyDescent="0.25">
      <c r="D9" s="5">
        <f t="shared" si="0"/>
        <v>0</v>
      </c>
    </row>
    <row r="10" spans="2:4" x14ac:dyDescent="0.25">
      <c r="D10" s="5">
        <f t="shared" si="0"/>
        <v>0</v>
      </c>
    </row>
    <row r="11" spans="2:4" x14ac:dyDescent="0.25">
      <c r="D11" s="5">
        <f t="shared" si="0"/>
        <v>0</v>
      </c>
    </row>
    <row r="12" spans="2:4" x14ac:dyDescent="0.25">
      <c r="D12" s="5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77FC-CAB9-4864-A71E-362754587DAD}">
  <dimension ref="B2:Q35"/>
  <sheetViews>
    <sheetView topLeftCell="F1" workbookViewId="0">
      <selection activeCell="Q9" sqref="N3:Q9"/>
    </sheetView>
  </sheetViews>
  <sheetFormatPr defaultRowHeight="15" x14ac:dyDescent="0.25"/>
  <cols>
    <col min="1" max="16384" width="9.140625" style="5"/>
  </cols>
  <sheetData>
    <row r="2" spans="2:17" x14ac:dyDescent="0.25">
      <c r="B2" s="2" t="s">
        <v>18</v>
      </c>
      <c r="C2" s="2" t="s">
        <v>19</v>
      </c>
      <c r="D2" s="2" t="s">
        <v>20</v>
      </c>
      <c r="E2" s="2" t="s">
        <v>28</v>
      </c>
      <c r="I2" s="2" t="s">
        <v>18</v>
      </c>
      <c r="J2" s="2" t="s">
        <v>19</v>
      </c>
      <c r="K2" s="2" t="s">
        <v>20</v>
      </c>
      <c r="L2" s="2" t="s">
        <v>28</v>
      </c>
      <c r="N2" s="2" t="s">
        <v>18</v>
      </c>
      <c r="O2" s="2" t="s">
        <v>19</v>
      </c>
      <c r="P2" s="2" t="s">
        <v>20</v>
      </c>
      <c r="Q2" s="2" t="s">
        <v>28</v>
      </c>
    </row>
    <row r="3" spans="2:17" x14ac:dyDescent="0.25">
      <c r="B3" s="5">
        <v>5.0599999999999996</v>
      </c>
      <c r="D3" s="5">
        <v>1.1620999999999999</v>
      </c>
      <c r="I3" s="5">
        <v>5.0599999999999996</v>
      </c>
      <c r="J3" s="5">
        <v>1.0065</v>
      </c>
      <c r="K3" s="5">
        <v>1.1619999999999999</v>
      </c>
      <c r="L3" s="5">
        <v>0.108</v>
      </c>
      <c r="N3" s="5">
        <v>6.46</v>
      </c>
      <c r="O3" s="5">
        <v>0.2445</v>
      </c>
      <c r="P3" s="5">
        <v>0.44579999999999997</v>
      </c>
      <c r="Q3" s="5">
        <v>3.0499999999999999E-2</v>
      </c>
    </row>
    <row r="4" spans="2:17" x14ac:dyDescent="0.25">
      <c r="B4" s="5">
        <f>B3+0.1</f>
        <v>5.1599999999999993</v>
      </c>
      <c r="D4" s="5">
        <v>1.0214000000000001</v>
      </c>
      <c r="I4" s="5">
        <f>I3+0.2</f>
        <v>5.26</v>
      </c>
      <c r="J4" s="5">
        <v>0.73660000000000003</v>
      </c>
      <c r="K4" s="5">
        <v>0.91</v>
      </c>
      <c r="L4" s="5">
        <v>8.0699999999999994E-2</v>
      </c>
      <c r="N4" s="5">
        <f>N3+0.6</f>
        <v>7.06</v>
      </c>
      <c r="O4" s="5">
        <v>0.17299999999999999</v>
      </c>
      <c r="P4" s="5">
        <v>0.37640000000000001</v>
      </c>
      <c r="Q4" s="5">
        <v>2.3E-2</v>
      </c>
    </row>
    <row r="5" spans="2:17" x14ac:dyDescent="0.25">
      <c r="B5" s="5">
        <f t="shared" ref="B5:B35" si="0">B4+0.1</f>
        <v>5.2599999999999989</v>
      </c>
      <c r="D5" s="5">
        <v>0.90990000000000004</v>
      </c>
      <c r="I5" s="5">
        <f t="shared" ref="I5:I14" si="1">I4+0.2</f>
        <v>5.46</v>
      </c>
      <c r="J5" s="5">
        <v>0.5675</v>
      </c>
      <c r="K5" s="5">
        <v>0.75149999999999995</v>
      </c>
      <c r="L5" s="5">
        <v>6.3500000000000001E-2</v>
      </c>
      <c r="N5" s="5">
        <f t="shared" ref="N5:N6" si="2">N4+0.6</f>
        <v>7.6599999999999993</v>
      </c>
      <c r="O5" s="5">
        <v>0.13059999999999999</v>
      </c>
      <c r="P5" s="5">
        <v>0.33460000000000001</v>
      </c>
      <c r="Q5" s="5">
        <v>1.84E-2</v>
      </c>
    </row>
    <row r="6" spans="2:17" x14ac:dyDescent="0.25">
      <c r="B6" s="5">
        <f t="shared" si="0"/>
        <v>5.3599999999999985</v>
      </c>
      <c r="D6" s="5">
        <v>0.82199999999999995</v>
      </c>
      <c r="I6" s="5">
        <f t="shared" si="1"/>
        <v>5.66</v>
      </c>
      <c r="J6" s="5">
        <v>0.45660000000000001</v>
      </c>
      <c r="K6" s="5">
        <v>0.65</v>
      </c>
      <c r="L6" s="5">
        <v>5.2299999999999999E-2</v>
      </c>
      <c r="N6" s="5">
        <f t="shared" si="2"/>
        <v>8.26</v>
      </c>
      <c r="O6" s="5">
        <v>0.1028</v>
      </c>
      <c r="P6" s="5">
        <v>0.30730000000000002</v>
      </c>
      <c r="Q6" s="5">
        <v>1.52E-2</v>
      </c>
    </row>
    <row r="7" spans="2:17" x14ac:dyDescent="0.25">
      <c r="B7" s="5">
        <f t="shared" si="0"/>
        <v>5.4599999999999982</v>
      </c>
      <c r="D7" s="5">
        <v>0.75149999999999995</v>
      </c>
      <c r="I7" s="5">
        <f t="shared" si="1"/>
        <v>5.86</v>
      </c>
      <c r="J7" s="5">
        <v>0.37930000000000003</v>
      </c>
      <c r="K7" s="5">
        <v>0.57569999999999999</v>
      </c>
      <c r="L7" s="5">
        <v>4.4400000000000002E-2</v>
      </c>
      <c r="N7" s="5">
        <f>N6+0.6</f>
        <v>8.86</v>
      </c>
      <c r="O7" s="5">
        <v>8.3599999999999994E-2</v>
      </c>
      <c r="P7" s="5">
        <v>0.28870000000000001</v>
      </c>
      <c r="Q7" s="5">
        <v>1.2999999999999999E-2</v>
      </c>
    </row>
    <row r="8" spans="2:17" x14ac:dyDescent="0.25">
      <c r="B8" s="5">
        <f t="shared" si="0"/>
        <v>5.5599999999999978</v>
      </c>
      <c r="D8" s="5">
        <v>0.7</v>
      </c>
      <c r="I8" s="5">
        <f t="shared" si="1"/>
        <v>6.0600000000000005</v>
      </c>
      <c r="J8" s="5">
        <v>0.32250000000000001</v>
      </c>
      <c r="K8" s="5">
        <v>0.52110000000000001</v>
      </c>
      <c r="L8" s="5">
        <v>3.85E-2</v>
      </c>
      <c r="N8" s="5">
        <f t="shared" ref="N8:N9" si="3">N7+0.6</f>
        <v>9.4599999999999991</v>
      </c>
      <c r="O8" s="5">
        <v>6.9599999999999995E-2</v>
      </c>
      <c r="P8" s="5">
        <v>0.27460000000000001</v>
      </c>
      <c r="Q8" s="5">
        <v>1.1299999999999999E-2</v>
      </c>
    </row>
    <row r="9" spans="2:17" x14ac:dyDescent="0.25">
      <c r="B9" s="5">
        <f t="shared" si="0"/>
        <v>5.6599999999999975</v>
      </c>
      <c r="D9" s="5">
        <v>0.65</v>
      </c>
      <c r="I9" s="5">
        <f t="shared" si="1"/>
        <v>6.2600000000000007</v>
      </c>
      <c r="J9" s="5">
        <v>0.2787</v>
      </c>
      <c r="K9" s="5">
        <v>0.47910000000000003</v>
      </c>
      <c r="L9" s="5">
        <v>3.4099999999999998E-2</v>
      </c>
      <c r="N9" s="5">
        <f t="shared" si="3"/>
        <v>10.059999999999999</v>
      </c>
      <c r="O9" s="5">
        <v>5.8999999999999997E-2</v>
      </c>
      <c r="P9" s="5">
        <v>0.2641</v>
      </c>
      <c r="Q9" s="5">
        <v>9.9000000000000008E-3</v>
      </c>
    </row>
    <row r="10" spans="2:17" x14ac:dyDescent="0.25">
      <c r="B10" s="5">
        <f t="shared" si="0"/>
        <v>5.7599999999999971</v>
      </c>
      <c r="D10" s="5">
        <v>0.61</v>
      </c>
      <c r="I10" s="5">
        <f t="shared" si="1"/>
        <v>6.4600000000000009</v>
      </c>
      <c r="J10" s="5">
        <v>0.2445</v>
      </c>
      <c r="K10" s="5">
        <v>0.44579999999999997</v>
      </c>
      <c r="L10" s="5">
        <v>3.0499999999999999E-2</v>
      </c>
    </row>
    <row r="11" spans="2:17" x14ac:dyDescent="0.25">
      <c r="B11" s="5">
        <f t="shared" si="0"/>
        <v>5.8599999999999968</v>
      </c>
      <c r="D11" s="5">
        <v>0.57999999999999996</v>
      </c>
    </row>
    <row r="12" spans="2:17" x14ac:dyDescent="0.25">
      <c r="B12" s="5">
        <f t="shared" si="0"/>
        <v>5.9599999999999964</v>
      </c>
      <c r="D12" s="5">
        <v>0.55000000000000004</v>
      </c>
    </row>
    <row r="13" spans="2:17" x14ac:dyDescent="0.25">
      <c r="B13" s="5">
        <f t="shared" si="0"/>
        <v>6.0599999999999961</v>
      </c>
      <c r="D13" s="5">
        <v>0.52</v>
      </c>
    </row>
    <row r="14" spans="2:17" x14ac:dyDescent="0.25">
      <c r="B14" s="5">
        <f t="shared" si="0"/>
        <v>6.1599999999999957</v>
      </c>
      <c r="D14" s="5">
        <v>0.5</v>
      </c>
    </row>
    <row r="15" spans="2:17" x14ac:dyDescent="0.25">
      <c r="B15" s="5">
        <f t="shared" si="0"/>
        <v>6.2599999999999953</v>
      </c>
      <c r="D15" s="5">
        <v>0.48</v>
      </c>
    </row>
    <row r="16" spans="2:17" x14ac:dyDescent="0.25">
      <c r="B16" s="5">
        <f t="shared" si="0"/>
        <v>6.359999999999995</v>
      </c>
      <c r="D16" s="5">
        <v>0.46</v>
      </c>
    </row>
    <row r="17" spans="2:4" x14ac:dyDescent="0.25">
      <c r="B17" s="5">
        <f t="shared" si="0"/>
        <v>6.4599999999999946</v>
      </c>
      <c r="D17" s="5">
        <v>0.45</v>
      </c>
    </row>
    <row r="18" spans="2:4" x14ac:dyDescent="0.25">
      <c r="B18" s="5">
        <f t="shared" si="0"/>
        <v>6.5599999999999943</v>
      </c>
      <c r="D18" s="5">
        <v>0.43</v>
      </c>
    </row>
    <row r="19" spans="2:4" x14ac:dyDescent="0.25">
      <c r="B19" s="5">
        <f t="shared" si="0"/>
        <v>6.6599999999999939</v>
      </c>
      <c r="D19" s="5">
        <v>0.42</v>
      </c>
    </row>
    <row r="20" spans="2:4" x14ac:dyDescent="0.25">
      <c r="B20" s="5">
        <f t="shared" si="0"/>
        <v>6.7599999999999936</v>
      </c>
      <c r="D20" s="5">
        <v>0.41</v>
      </c>
    </row>
    <row r="21" spans="2:4" x14ac:dyDescent="0.25">
      <c r="B21" s="5">
        <f t="shared" si="0"/>
        <v>6.8599999999999932</v>
      </c>
      <c r="D21" s="5">
        <v>0.4</v>
      </c>
    </row>
    <row r="22" spans="2:4" x14ac:dyDescent="0.25">
      <c r="B22" s="5">
        <f>B21+0.1</f>
        <v>6.9599999999999929</v>
      </c>
      <c r="D22" s="5">
        <v>0.39</v>
      </c>
    </row>
    <row r="23" spans="2:4" x14ac:dyDescent="0.25">
      <c r="B23" s="5">
        <f t="shared" si="0"/>
        <v>7.0599999999999925</v>
      </c>
      <c r="D23" s="5">
        <v>0.39</v>
      </c>
    </row>
    <row r="24" spans="2:4" x14ac:dyDescent="0.25">
      <c r="B24" s="5">
        <f t="shared" si="0"/>
        <v>7.1599999999999921</v>
      </c>
      <c r="D24" s="5">
        <v>0.38</v>
      </c>
    </row>
    <row r="25" spans="2:4" x14ac:dyDescent="0.25">
      <c r="B25" s="5">
        <f t="shared" si="0"/>
        <v>7.2599999999999918</v>
      </c>
      <c r="D25" s="5">
        <v>0.36</v>
      </c>
    </row>
    <row r="26" spans="2:4" x14ac:dyDescent="0.25">
      <c r="B26" s="5">
        <f t="shared" si="0"/>
        <v>7.3599999999999914</v>
      </c>
      <c r="D26" s="5">
        <v>0.3</v>
      </c>
    </row>
    <row r="27" spans="2:4" x14ac:dyDescent="0.25">
      <c r="B27" s="5">
        <f t="shared" si="0"/>
        <v>7.4599999999999911</v>
      </c>
      <c r="D27" s="5">
        <v>0.3</v>
      </c>
    </row>
    <row r="28" spans="2:4" x14ac:dyDescent="0.25">
      <c r="B28" s="5">
        <f t="shared" si="0"/>
        <v>7.5599999999999907</v>
      </c>
      <c r="D28" s="5">
        <v>0.3</v>
      </c>
    </row>
    <row r="29" spans="2:4" x14ac:dyDescent="0.25">
      <c r="B29" s="5">
        <f t="shared" si="0"/>
        <v>7.6599999999999904</v>
      </c>
      <c r="D29" s="5">
        <v>0.3</v>
      </c>
    </row>
    <row r="30" spans="2:4" x14ac:dyDescent="0.25">
      <c r="B30" s="5">
        <f t="shared" si="0"/>
        <v>7.75999999999999</v>
      </c>
      <c r="D30" s="5">
        <v>0.3</v>
      </c>
    </row>
    <row r="31" spans="2:4" x14ac:dyDescent="0.25">
      <c r="B31" s="5">
        <f t="shared" si="0"/>
        <v>7.8599999999999897</v>
      </c>
      <c r="D31" s="5">
        <v>0.3</v>
      </c>
    </row>
    <row r="32" spans="2:4" x14ac:dyDescent="0.25">
      <c r="B32" s="5">
        <f t="shared" si="0"/>
        <v>7.9599999999999893</v>
      </c>
      <c r="D32" s="5">
        <v>0.3</v>
      </c>
    </row>
    <row r="33" spans="2:4" x14ac:dyDescent="0.25">
      <c r="B33" s="5">
        <f t="shared" si="0"/>
        <v>8.0599999999999898</v>
      </c>
      <c r="D33" s="5">
        <v>0.3</v>
      </c>
    </row>
    <row r="34" spans="2:4" x14ac:dyDescent="0.25">
      <c r="B34" s="5">
        <f t="shared" si="0"/>
        <v>8.1599999999999895</v>
      </c>
    </row>
    <row r="35" spans="2:4" x14ac:dyDescent="0.25">
      <c r="B35" s="5">
        <f t="shared" si="0"/>
        <v>8.2599999999999891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7BD1-4678-420C-B60A-112D17B2368F}">
  <dimension ref="A1:I22"/>
  <sheetViews>
    <sheetView workbookViewId="0">
      <selection activeCell="F28" sqref="F28"/>
    </sheetView>
  </sheetViews>
  <sheetFormatPr defaultRowHeight="15" x14ac:dyDescent="0.25"/>
  <sheetData>
    <row r="1" spans="1:9" x14ac:dyDescent="0.25">
      <c r="A1" s="2">
        <v>1.8111999999999999</v>
      </c>
      <c r="B1" s="2">
        <v>1.8048999999999999</v>
      </c>
    </row>
    <row r="2" spans="1:9" x14ac:dyDescent="0.25">
      <c r="A2" s="2">
        <v>1.8110999999999999</v>
      </c>
      <c r="B2" s="2">
        <v>1.8065</v>
      </c>
    </row>
    <row r="3" spans="1:9" x14ac:dyDescent="0.25">
      <c r="A3" s="4">
        <v>1.8108</v>
      </c>
      <c r="B3" s="4">
        <v>1.8075000000000001</v>
      </c>
      <c r="H3" s="2">
        <v>1.6613</v>
      </c>
      <c r="I3" s="2">
        <v>1.649</v>
      </c>
    </row>
    <row r="4" spans="1:9" x14ac:dyDescent="0.25">
      <c r="A4" s="4">
        <v>1.8107</v>
      </c>
      <c r="B4" s="4">
        <v>1.8089999999999999</v>
      </c>
      <c r="H4" s="2">
        <v>1.6614</v>
      </c>
      <c r="I4" s="2">
        <v>1.6498999999999999</v>
      </c>
    </row>
    <row r="5" spans="1:9" x14ac:dyDescent="0.25">
      <c r="A5" s="4">
        <v>1.8103</v>
      </c>
      <c r="B5" s="4">
        <v>1.8103</v>
      </c>
      <c r="H5" s="2">
        <v>1.6614</v>
      </c>
      <c r="I5" s="2">
        <v>1.6506000000000001</v>
      </c>
    </row>
    <row r="6" spans="1:9" x14ac:dyDescent="0.25">
      <c r="A6" s="4">
        <v>1.8099000000000001</v>
      </c>
      <c r="B6" s="4">
        <v>1.8115000000000001</v>
      </c>
      <c r="H6" s="2">
        <v>1.6615</v>
      </c>
      <c r="I6" s="2">
        <v>1.6514</v>
      </c>
    </row>
    <row r="7" spans="1:9" x14ac:dyDescent="0.25">
      <c r="A7" s="4">
        <v>1.8093999999999999</v>
      </c>
      <c r="B7" s="4">
        <v>1.8125</v>
      </c>
      <c r="H7" s="2">
        <v>1.6615</v>
      </c>
      <c r="I7" s="2">
        <v>1.6498999999999999</v>
      </c>
    </row>
    <row r="8" spans="1:9" x14ac:dyDescent="0.25">
      <c r="A8" s="4">
        <v>1.8088</v>
      </c>
      <c r="B8" s="4">
        <v>1.8134999999999999</v>
      </c>
      <c r="H8" s="2">
        <v>1.6604000000000001</v>
      </c>
      <c r="I8" s="2">
        <v>1.651</v>
      </c>
    </row>
    <row r="9" spans="1:9" x14ac:dyDescent="0.25">
      <c r="A9" s="4">
        <v>1.8081</v>
      </c>
      <c r="B9" s="4">
        <v>1.8145</v>
      </c>
      <c r="H9" s="2">
        <v>1.6605000000000001</v>
      </c>
      <c r="I9" s="2">
        <v>1.6517999999999999</v>
      </c>
    </row>
    <row r="10" spans="1:9" x14ac:dyDescent="0.25">
      <c r="A10" s="4">
        <v>1.8072999999999999</v>
      </c>
      <c r="B10" s="4">
        <v>1.8151999999999999</v>
      </c>
      <c r="H10" s="2">
        <v>1.6606000000000001</v>
      </c>
      <c r="I10" s="2">
        <v>1.6527000000000001</v>
      </c>
    </row>
    <row r="11" spans="1:9" x14ac:dyDescent="0.25">
      <c r="A11" s="4">
        <v>1.8064</v>
      </c>
      <c r="B11" s="4">
        <v>1.8159000000000001</v>
      </c>
      <c r="H11" s="2">
        <v>1.6605000000000001</v>
      </c>
      <c r="I11" s="2">
        <v>1.6534</v>
      </c>
    </row>
    <row r="12" spans="1:9" x14ac:dyDescent="0.25">
      <c r="A12" s="4">
        <v>1.8055000000000001</v>
      </c>
      <c r="B12" s="4">
        <v>1.8165</v>
      </c>
      <c r="H12" s="2">
        <v>1.6605000000000001</v>
      </c>
      <c r="I12" s="2">
        <v>1.6544000000000001</v>
      </c>
    </row>
    <row r="13" spans="1:9" x14ac:dyDescent="0.25">
      <c r="A13" s="4">
        <v>1.8043</v>
      </c>
      <c r="B13" s="4">
        <v>1.8169999999999999</v>
      </c>
      <c r="H13" s="2">
        <v>1.6606000000000001</v>
      </c>
      <c r="I13" s="2">
        <v>1.655</v>
      </c>
    </row>
    <row r="14" spans="1:9" x14ac:dyDescent="0.25">
      <c r="A14" s="4">
        <v>1.8030999999999999</v>
      </c>
      <c r="B14" s="4">
        <v>1.8173999999999999</v>
      </c>
      <c r="H14" s="4">
        <v>1.6607000000000001</v>
      </c>
      <c r="I14" s="4">
        <v>1.6557999999999999</v>
      </c>
    </row>
    <row r="15" spans="1:9" x14ac:dyDescent="0.25">
      <c r="A15" s="4">
        <v>1.8018000000000001</v>
      </c>
      <c r="B15" s="4">
        <v>1.8177000000000001</v>
      </c>
      <c r="H15" s="4">
        <v>1.6604000000000001</v>
      </c>
      <c r="I15" s="4">
        <v>1.6568000000000001</v>
      </c>
    </row>
    <row r="16" spans="1:9" x14ac:dyDescent="0.25">
      <c r="A16" s="4">
        <v>1.8004</v>
      </c>
      <c r="B16" s="4">
        <v>1.8178000000000001</v>
      </c>
      <c r="H16" s="4">
        <v>1.6600999999999999</v>
      </c>
      <c r="I16" s="4">
        <v>1.6573</v>
      </c>
    </row>
    <row r="17" spans="1:9" x14ac:dyDescent="0.25">
      <c r="A17" s="4">
        <v>1.7989999999999999</v>
      </c>
      <c r="B17" s="4">
        <v>1.8180000000000001</v>
      </c>
      <c r="H17" s="4">
        <v>1.6601999999999999</v>
      </c>
      <c r="I17" s="4">
        <v>1.6577</v>
      </c>
    </row>
    <row r="18" spans="1:9" x14ac:dyDescent="0.25">
      <c r="A18" s="4">
        <v>1.7974000000000001</v>
      </c>
      <c r="B18" s="4">
        <v>1.8180000000000001</v>
      </c>
      <c r="H18" s="4">
        <v>1.6600999999999999</v>
      </c>
      <c r="I18" s="4">
        <v>1.6585000000000001</v>
      </c>
    </row>
    <row r="19" spans="1:9" x14ac:dyDescent="0.25">
      <c r="A19" s="2">
        <v>1.7958000000000001</v>
      </c>
      <c r="B19" s="2">
        <v>1.8178000000000001</v>
      </c>
      <c r="H19" s="4">
        <v>1.6600999999999999</v>
      </c>
      <c r="I19" s="4">
        <v>1.6593</v>
      </c>
    </row>
    <row r="20" spans="1:9" x14ac:dyDescent="0.25">
      <c r="A20" s="2">
        <v>1.794</v>
      </c>
      <c r="B20" s="2">
        <v>1.8176000000000001</v>
      </c>
      <c r="H20" s="4">
        <v>1.6600999999999999</v>
      </c>
      <c r="I20" s="4">
        <v>1.66</v>
      </c>
    </row>
    <row r="21" spans="1:9" x14ac:dyDescent="0.25">
      <c r="A21" s="2">
        <v>1.7922</v>
      </c>
      <c r="B21" s="2">
        <v>1.8173999999999999</v>
      </c>
      <c r="H21" s="4">
        <v>1.6601999999999999</v>
      </c>
      <c r="I21" s="4">
        <v>1.6606000000000001</v>
      </c>
    </row>
    <row r="22" spans="1:9" x14ac:dyDescent="0.25">
      <c r="A22" s="2">
        <v>1.7901</v>
      </c>
      <c r="B22" s="2">
        <v>1.8169999999999999</v>
      </c>
      <c r="H22" s="4">
        <v>1.6598999999999999</v>
      </c>
      <c r="I22" s="4">
        <v>1.6614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F8CB-8FB4-49D0-8A2E-CFAB651BF4E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Лист1</vt:lpstr>
      <vt:lpstr>Лист2</vt:lpstr>
      <vt:lpstr>Лист5</vt:lpstr>
      <vt:lpstr>Лист7</vt:lpstr>
      <vt:lpstr>Лист3</vt:lpstr>
      <vt:lpstr>Общее</vt:lpstr>
      <vt:lpstr>Лист8</vt:lpstr>
      <vt:lpstr>Лист6</vt:lpstr>
      <vt:lpstr>Мусор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2026-02-16T08:14:43Z</dcterms:created>
  <dcterms:modified xsi:type="dcterms:W3CDTF">2026-03-02T11:49:29Z</dcterms:modified>
</cp:coreProperties>
</file>